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05d7faf65529a7/Documentos/A ARCHIVOS EGC 12 11 2025/AGRILOR/1 EEFF/A DATA PARA IA LALO/"/>
    </mc:Choice>
  </mc:AlternateContent>
  <xr:revisionPtr revIDLastSave="0" documentId="8_{AFA455F8-340E-4AC9-9633-359C6ACF8990}" xr6:coauthVersionLast="47" xr6:coauthVersionMax="47" xr10:uidLastSave="{00000000-0000-0000-0000-000000000000}"/>
  <bookViews>
    <workbookView xWindow="-98" yWindow="-98" windowWidth="19396" windowHeight="11475" xr2:uid="{F3E485FC-E6A0-437F-AF5E-1663DC481290}"/>
  </bookViews>
  <sheets>
    <sheet name="Costo 481 HAS" sheetId="1" r:id="rId1"/>
  </sheets>
  <externalReferences>
    <externalReference r:id="rId2"/>
  </externalReferences>
  <definedNames>
    <definedName name="CentrCostos" localSheetId="0">#REF!</definedName>
    <definedName name="CentrCostos">#REF!</definedName>
    <definedName name="CodEgr" localSheetId="0">#REF!</definedName>
    <definedName name="CodEg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0" i="1" l="1"/>
  <c r="F257" i="1"/>
  <c r="F256" i="1"/>
  <c r="F255" i="1"/>
  <c r="F252" i="1"/>
  <c r="L251" i="1"/>
  <c r="L253" i="1" s="1"/>
  <c r="F251" i="1"/>
  <c r="F250" i="1"/>
  <c r="F253" i="1" s="1"/>
  <c r="CB249" i="1"/>
  <c r="CC249" i="1" s="1"/>
  <c r="CB250" i="1" s="1"/>
  <c r="I240" i="1"/>
  <c r="I244" i="1" s="1"/>
  <c r="I246" i="1" s="1"/>
  <c r="F240" i="1"/>
  <c r="F244" i="1" s="1"/>
  <c r="F246" i="1" s="1"/>
  <c r="O239" i="1"/>
  <c r="R239" i="1" s="1"/>
  <c r="Q238" i="1"/>
  <c r="S238" i="1" s="1"/>
  <c r="O238" i="1"/>
  <c r="R238" i="1" s="1"/>
  <c r="Q236" i="1"/>
  <c r="O236" i="1"/>
  <c r="Q235" i="1"/>
  <c r="O235" i="1"/>
  <c r="Q234" i="1"/>
  <c r="Q231" i="1"/>
  <c r="M230" i="1"/>
  <c r="Q230" i="1" s="1"/>
  <c r="Q226" i="1"/>
  <c r="M226" i="1"/>
  <c r="O226" i="1" s="1"/>
  <c r="M219" i="1"/>
  <c r="O219" i="1" s="1"/>
  <c r="S217" i="1"/>
  <c r="R217" i="1"/>
  <c r="S216" i="1"/>
  <c r="R216" i="1"/>
  <c r="M215" i="1"/>
  <c r="Q215" i="1" s="1"/>
  <c r="CA212" i="1"/>
  <c r="CC212" i="1" s="1"/>
  <c r="Q212" i="1"/>
  <c r="S212" i="1" s="1"/>
  <c r="CA211" i="1"/>
  <c r="CC211" i="1" s="1"/>
  <c r="Q211" i="1"/>
  <c r="S211" i="1" s="1"/>
  <c r="O211" i="1"/>
  <c r="R211" i="1" s="1"/>
  <c r="CA203" i="1"/>
  <c r="CC203" i="1" s="1"/>
  <c r="Q203" i="1"/>
  <c r="S203" i="1" s="1"/>
  <c r="O203" i="1"/>
  <c r="R203" i="1" s="1"/>
  <c r="CC202" i="1"/>
  <c r="CA202" i="1"/>
  <c r="CB202" i="1" s="1"/>
  <c r="Q202" i="1"/>
  <c r="S202" i="1" s="1"/>
  <c r="O202" i="1"/>
  <c r="R202" i="1" s="1"/>
  <c r="CC201" i="1"/>
  <c r="CB201" i="1"/>
  <c r="CA201" i="1"/>
  <c r="Q201" i="1"/>
  <c r="S201" i="1" s="1"/>
  <c r="O201" i="1"/>
  <c r="R201" i="1" s="1"/>
  <c r="CA200" i="1"/>
  <c r="CC200" i="1" s="1"/>
  <c r="O200" i="1"/>
  <c r="R200" i="1" s="1"/>
  <c r="CB195" i="1"/>
  <c r="CA195" i="1"/>
  <c r="CC195" i="1" s="1"/>
  <c r="CA193" i="1"/>
  <c r="CA192" i="1"/>
  <c r="CC192" i="1" s="1"/>
  <c r="S192" i="1"/>
  <c r="Q192" i="1"/>
  <c r="CA191" i="1"/>
  <c r="CC191" i="1" s="1"/>
  <c r="Q191" i="1"/>
  <c r="S191" i="1" s="1"/>
  <c r="O191" i="1"/>
  <c r="R191" i="1" s="1"/>
  <c r="CA190" i="1"/>
  <c r="CC190" i="1" s="1"/>
  <c r="Q190" i="1"/>
  <c r="S190" i="1" s="1"/>
  <c r="P190" i="1"/>
  <c r="O190" i="1"/>
  <c r="R190" i="1" s="1"/>
  <c r="M190" i="1"/>
  <c r="CA189" i="1"/>
  <c r="CC189" i="1" s="1"/>
  <c r="Q189" i="1"/>
  <c r="S189" i="1" s="1"/>
  <c r="O189" i="1"/>
  <c r="R189" i="1" s="1"/>
  <c r="CA188" i="1"/>
  <c r="CC188" i="1" s="1"/>
  <c r="Q188" i="1"/>
  <c r="S188" i="1" s="1"/>
  <c r="O188" i="1"/>
  <c r="R188" i="1" s="1"/>
  <c r="CI187" i="1"/>
  <c r="CH187" i="1"/>
  <c r="CE187" i="1"/>
  <c r="CA187" i="1"/>
  <c r="CD187" i="1" s="1"/>
  <c r="O187" i="1"/>
  <c r="R187" i="1" s="1"/>
  <c r="Q186" i="1"/>
  <c r="S186" i="1" s="1"/>
  <c r="O186" i="1"/>
  <c r="R186" i="1" s="1"/>
  <c r="O148" i="1"/>
  <c r="R148" i="1" s="1"/>
  <c r="R147" i="1"/>
  <c r="Q147" i="1"/>
  <c r="S147" i="1" s="1"/>
  <c r="P147" i="1"/>
  <c r="M147" i="1"/>
  <c r="O147" i="1" s="1"/>
  <c r="O132" i="1"/>
  <c r="Q131" i="1"/>
  <c r="O131" i="1"/>
  <c r="E130" i="1"/>
  <c r="M130" i="1" s="1"/>
  <c r="Q130" i="1" s="1"/>
  <c r="E129" i="1"/>
  <c r="M129" i="1" s="1"/>
  <c r="Q127" i="1"/>
  <c r="S127" i="1" s="1"/>
  <c r="O127" i="1"/>
  <c r="R127" i="1" s="1"/>
  <c r="R124" i="1"/>
  <c r="Q124" i="1"/>
  <c r="S124" i="1" s="1"/>
  <c r="O124" i="1"/>
  <c r="Q123" i="1"/>
  <c r="S123" i="1" s="1"/>
  <c r="O123" i="1"/>
  <c r="R123" i="1" s="1"/>
  <c r="CA122" i="1"/>
  <c r="CB122" i="1" s="1"/>
  <c r="Q119" i="1"/>
  <c r="S119" i="1" s="1"/>
  <c r="O119" i="1"/>
  <c r="R119" i="1" s="1"/>
  <c r="CA117" i="1"/>
  <c r="Q117" i="1"/>
  <c r="S117" i="1" s="1"/>
  <c r="Q115" i="1"/>
  <c r="Q113" i="1"/>
  <c r="Q112" i="1"/>
  <c r="M109" i="1"/>
  <c r="Q109" i="1" s="1"/>
  <c r="S109" i="1" s="1"/>
  <c r="Q107" i="1"/>
  <c r="S107" i="1" s="1"/>
  <c r="S106" i="1"/>
  <c r="R106" i="1"/>
  <c r="Q106" i="1"/>
  <c r="Q105" i="1"/>
  <c r="S105" i="1" s="1"/>
  <c r="S104" i="1"/>
  <c r="Q103" i="1"/>
  <c r="S103" i="1" s="1"/>
  <c r="Q101" i="1"/>
  <c r="Q80" i="1"/>
  <c r="S80" i="1" s="1"/>
  <c r="Q77" i="1"/>
  <c r="S77" i="1" s="1"/>
  <c r="S76" i="1"/>
  <c r="Q76" i="1"/>
  <c r="O76" i="1"/>
  <c r="R76" i="1" s="1"/>
  <c r="Q75" i="1"/>
  <c r="S75" i="1" s="1"/>
  <c r="S74" i="1"/>
  <c r="R74" i="1"/>
  <c r="Q73" i="1"/>
  <c r="S73" i="1" s="1"/>
  <c r="R72" i="1"/>
  <c r="Q72" i="1"/>
  <c r="S72" i="1" s="1"/>
  <c r="O72" i="1"/>
  <c r="Q71" i="1"/>
  <c r="S71" i="1" s="1"/>
  <c r="R70" i="1"/>
  <c r="Q70" i="1"/>
  <c r="S70" i="1" s="1"/>
  <c r="O70" i="1"/>
  <c r="Q69" i="1"/>
  <c r="S69" i="1" s="1"/>
  <c r="S68" i="1"/>
  <c r="Q68" i="1"/>
  <c r="P65" i="1"/>
  <c r="M65" i="1"/>
  <c r="L65" i="1"/>
  <c r="I65" i="1"/>
  <c r="F65" i="1"/>
  <c r="Q53" i="1"/>
  <c r="S53" i="1" s="1"/>
  <c r="S49" i="1"/>
  <c r="Q49" i="1"/>
  <c r="K32" i="1"/>
  <c r="L32" i="1" s="1"/>
  <c r="Q32" i="1" s="1"/>
  <c r="S32" i="1" s="1"/>
  <c r="J32" i="1"/>
  <c r="H32" i="1"/>
  <c r="I32" i="1" s="1"/>
  <c r="O32" i="1" s="1"/>
  <c r="R32" i="1" s="1"/>
  <c r="G32" i="1"/>
  <c r="F32" i="1"/>
  <c r="D32" i="1"/>
  <c r="Q31" i="1"/>
  <c r="S31" i="1" s="1"/>
  <c r="Q30" i="1"/>
  <c r="S30" i="1" s="1"/>
  <c r="Q29" i="1"/>
  <c r="S29" i="1" s="1"/>
  <c r="Q28" i="1"/>
  <c r="S28" i="1" s="1"/>
  <c r="Q24" i="1"/>
  <c r="S24" i="1" s="1"/>
  <c r="Q23" i="1"/>
  <c r="S23" i="1" s="1"/>
  <c r="Q22" i="1"/>
  <c r="S22" i="1" s="1"/>
  <c r="S21" i="1"/>
  <c r="Q21" i="1"/>
  <c r="Q20" i="1"/>
  <c r="S20" i="1" s="1"/>
  <c r="Q19" i="1"/>
  <c r="S19" i="1" s="1"/>
  <c r="Q18" i="1"/>
  <c r="S18" i="1" s="1"/>
  <c r="Q17" i="1"/>
  <c r="S17" i="1" s="1"/>
  <c r="Q16" i="1"/>
  <c r="S16" i="1" s="1"/>
  <c r="S14" i="1"/>
  <c r="Q14" i="1"/>
  <c r="Q12" i="1"/>
  <c r="S12" i="1" s="1"/>
  <c r="V11" i="1"/>
  <c r="U11" i="1"/>
  <c r="M10" i="1"/>
  <c r="L10" i="1"/>
  <c r="L240" i="1" s="1"/>
  <c r="L244" i="1" s="1"/>
  <c r="L246" i="1" s="1"/>
  <c r="I10" i="1"/>
  <c r="F10" i="1"/>
  <c r="M8" i="1"/>
  <c r="O234" i="1" s="1"/>
  <c r="Q7" i="1"/>
  <c r="O2" i="1"/>
  <c r="O115" i="1" s="1"/>
  <c r="O1" i="1"/>
  <c r="Q104" i="1" s="1"/>
  <c r="R115" i="1" l="1"/>
  <c r="O3" i="1"/>
  <c r="O105" i="1"/>
  <c r="R105" i="1" s="1"/>
  <c r="M32" i="1"/>
  <c r="O20" i="1"/>
  <c r="R20" i="1" s="1"/>
  <c r="O73" i="1"/>
  <c r="R73" i="1" s="1"/>
  <c r="O49" i="1"/>
  <c r="R49" i="1" s="1"/>
  <c r="O77" i="1"/>
  <c r="R77" i="1" s="1"/>
  <c r="O103" i="1"/>
  <c r="R103" i="1" s="1"/>
  <c r="O30" i="1"/>
  <c r="R30" i="1" s="1"/>
  <c r="O28" i="1"/>
  <c r="R28" i="1" s="1"/>
  <c r="O23" i="1"/>
  <c r="R23" i="1" s="1"/>
  <c r="O21" i="1"/>
  <c r="R21" i="1" s="1"/>
  <c r="O19" i="1"/>
  <c r="R19" i="1" s="1"/>
  <c r="O17" i="1"/>
  <c r="R17" i="1" s="1"/>
  <c r="O14" i="1"/>
  <c r="R14" i="1" s="1"/>
  <c r="O51" i="1"/>
  <c r="R51" i="1" s="1"/>
  <c r="R7" i="1"/>
  <c r="O104" i="1"/>
  <c r="R104" i="1" s="1"/>
  <c r="O102" i="1"/>
  <c r="R102" i="1" s="1"/>
  <c r="O122" i="1"/>
  <c r="R122" i="1" s="1"/>
  <c r="O120" i="1"/>
  <c r="R120" i="1" s="1"/>
  <c r="O118" i="1"/>
  <c r="R118" i="1" s="1"/>
  <c r="O78" i="1"/>
  <c r="R78" i="1" s="1"/>
  <c r="O67" i="1"/>
  <c r="O116" i="1"/>
  <c r="R116" i="1" s="1"/>
  <c r="O34" i="1"/>
  <c r="R34" i="1" s="1"/>
  <c r="O31" i="1"/>
  <c r="R31" i="1" s="1"/>
  <c r="O69" i="1"/>
  <c r="R69" i="1" s="1"/>
  <c r="O80" i="1"/>
  <c r="R80" i="1" s="1"/>
  <c r="O117" i="1"/>
  <c r="R117" i="1" s="1"/>
  <c r="O129" i="1"/>
  <c r="Q129" i="1"/>
  <c r="M128" i="1"/>
  <c r="O22" i="1"/>
  <c r="R22" i="1" s="1"/>
  <c r="O53" i="1"/>
  <c r="R53" i="1" s="1"/>
  <c r="O7" i="1"/>
  <c r="O16" i="1"/>
  <c r="R16" i="1" s="1"/>
  <c r="O130" i="1"/>
  <c r="CC187" i="1"/>
  <c r="CB200" i="1"/>
  <c r="F258" i="1"/>
  <c r="F260" i="1" s="1"/>
  <c r="E260" i="1" s="1"/>
  <c r="O12" i="1"/>
  <c r="S10" i="1"/>
  <c r="V10" i="1" s="1"/>
  <c r="O24" i="1"/>
  <c r="R24" i="1" s="1"/>
  <c r="O71" i="1"/>
  <c r="R71" i="1" s="1"/>
  <c r="O107" i="1"/>
  <c r="R107" i="1" s="1"/>
  <c r="S115" i="1"/>
  <c r="O75" i="1"/>
  <c r="R75" i="1" s="1"/>
  <c r="CB187" i="1"/>
  <c r="L249" i="1"/>
  <c r="L250" i="1" s="1"/>
  <c r="O29" i="1"/>
  <c r="R29" i="1" s="1"/>
  <c r="CG187" i="1"/>
  <c r="CC193" i="1"/>
  <c r="CB193" i="1"/>
  <c r="O230" i="1"/>
  <c r="O18" i="1"/>
  <c r="R18" i="1" s="1"/>
  <c r="CB251" i="1"/>
  <c r="CB192" i="1"/>
  <c r="CB212" i="1"/>
  <c r="S7" i="1"/>
  <c r="Q34" i="1"/>
  <c r="S34" i="1" s="1"/>
  <c r="Q51" i="1"/>
  <c r="S51" i="1" s="1"/>
  <c r="Q116" i="1"/>
  <c r="S116" i="1" s="1"/>
  <c r="Q132" i="1"/>
  <c r="Q148" i="1"/>
  <c r="S148" i="1" s="1"/>
  <c r="Q187" i="1"/>
  <c r="S187" i="1" s="1"/>
  <c r="CF187" i="1"/>
  <c r="CB189" i="1"/>
  <c r="CB191" i="1"/>
  <c r="O195" i="1"/>
  <c r="R195" i="1" s="1"/>
  <c r="Q200" i="1"/>
  <c r="S200" i="1" s="1"/>
  <c r="CB211" i="1"/>
  <c r="O215" i="1"/>
  <c r="Q219" i="1"/>
  <c r="Q232" i="1"/>
  <c r="O237" i="1"/>
  <c r="R237" i="1" s="1"/>
  <c r="Q67" i="1"/>
  <c r="Q78" i="1"/>
  <c r="S78" i="1" s="1"/>
  <c r="O109" i="1"/>
  <c r="R109" i="1" s="1"/>
  <c r="Q118" i="1"/>
  <c r="S118" i="1" s="1"/>
  <c r="Q120" i="1"/>
  <c r="S120" i="1" s="1"/>
  <c r="Q122" i="1"/>
  <c r="S122" i="1" s="1"/>
  <c r="CB188" i="1"/>
  <c r="CB190" i="1"/>
  <c r="O193" i="1"/>
  <c r="R193" i="1" s="1"/>
  <c r="Q195" i="1"/>
  <c r="S195" i="1" s="1"/>
  <c r="CB203" i="1"/>
  <c r="M213" i="1"/>
  <c r="Q233" i="1"/>
  <c r="Q237" i="1"/>
  <c r="S237" i="1" s="1"/>
  <c r="Q239" i="1"/>
  <c r="S239" i="1" s="1"/>
  <c r="Q102" i="1"/>
  <c r="S102" i="1" s="1"/>
  <c r="O192" i="1"/>
  <c r="R192" i="1" s="1"/>
  <c r="Q193" i="1"/>
  <c r="S193" i="1" s="1"/>
  <c r="O212" i="1"/>
  <c r="R212" i="1" s="1"/>
  <c r="O213" i="1" l="1"/>
  <c r="R213" i="1" s="1"/>
  <c r="Q213" i="1"/>
  <c r="S213" i="1" s="1"/>
  <c r="P213" i="1"/>
  <c r="S67" i="1"/>
  <c r="S65" i="1" s="1"/>
  <c r="Q65" i="1"/>
  <c r="S256" i="1" s="1"/>
  <c r="O114" i="1"/>
  <c r="R12" i="1"/>
  <c r="R10" i="1" s="1"/>
  <c r="U10" i="1" s="1"/>
  <c r="O10" i="1"/>
  <c r="Q128" i="1"/>
  <c r="M126" i="1"/>
  <c r="P128" i="1"/>
  <c r="O128" i="1"/>
  <c r="R67" i="1"/>
  <c r="R65" i="1" s="1"/>
  <c r="O65" i="1"/>
  <c r="R256" i="1" s="1"/>
  <c r="Q121" i="1"/>
  <c r="S121" i="1" s="1"/>
  <c r="O121" i="1"/>
  <c r="R121" i="1" s="1"/>
  <c r="Q10" i="1"/>
  <c r="R114" i="1" l="1"/>
  <c r="R261" i="1"/>
  <c r="O126" i="1"/>
  <c r="R128" i="1"/>
  <c r="S254" i="1"/>
  <c r="M240" i="1"/>
  <c r="Q126" i="1"/>
  <c r="S128" i="1"/>
  <c r="O240" i="1"/>
  <c r="R254" i="1"/>
  <c r="Q114" i="1"/>
  <c r="S114" i="1" l="1"/>
  <c r="S261" i="1"/>
  <c r="Q240" i="1"/>
  <c r="R240" i="1"/>
  <c r="R126" i="1"/>
  <c r="R257" i="1"/>
  <c r="S126" i="1"/>
  <c r="S257" i="1"/>
  <c r="M244" i="1"/>
  <c r="M242" i="1"/>
  <c r="L256" i="1" l="1"/>
  <c r="L257" i="1" s="1"/>
  <c r="M246" i="1"/>
  <c r="Q242" i="1"/>
  <c r="O242" i="1"/>
  <c r="L254" i="1"/>
  <c r="L255" i="1" s="1"/>
  <c r="M255" i="1" s="1"/>
  <c r="Q246" i="1"/>
  <c r="S246" i="1" s="1"/>
  <c r="S240" i="1"/>
  <c r="R258" i="1" l="1"/>
  <c r="R259" i="1" s="1"/>
  <c r="R242" i="1"/>
  <c r="O246" i="1"/>
  <c r="R246" i="1" s="1"/>
  <c r="S242" i="1"/>
  <c r="S258" i="1"/>
  <c r="S259" i="1" s="1"/>
  <c r="M253" i="1"/>
  <c r="M250" i="1"/>
  <c r="T259" i="1" l="1"/>
  <c r="S265" i="1"/>
  <c r="S262" i="1"/>
  <c r="V259" i="1"/>
  <c r="Q260" i="1"/>
  <c r="R265" i="1"/>
  <c r="R262" i="1"/>
  <c r="U2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lores</author>
    <author>Hector Balarezo</author>
  </authors>
  <commentList>
    <comment ref="B53" authorId="0" shapeId="0" xr:uid="{E0C5A66B-1475-4F11-838A-5B4D4FC19D59}">
      <text>
        <r>
          <rPr>
            <b/>
            <sz val="9"/>
            <color indexed="81"/>
            <rFont val="Tahoma"/>
            <family val="2"/>
          </rPr>
          <t>lores:</t>
        </r>
        <r>
          <rPr>
            <sz val="9"/>
            <color indexed="81"/>
            <rFont val="Tahoma"/>
            <family val="2"/>
          </rPr>
          <t xml:space="preserve">
horas x HA</t>
        </r>
      </text>
    </comment>
    <comment ref="B90" authorId="0" shapeId="0" xr:uid="{74D0B131-45A0-4446-8E9C-EF771BEAF3D1}">
      <text>
        <r>
          <rPr>
            <b/>
            <sz val="9"/>
            <color indexed="81"/>
            <rFont val="Tahoma"/>
            <family val="2"/>
          </rPr>
          <t>lores:</t>
        </r>
        <r>
          <rPr>
            <sz val="9"/>
            <color indexed="81"/>
            <rFont val="Tahoma"/>
            <family val="2"/>
          </rPr>
          <t xml:space="preserve">
1 SEMANA DESPUES DEL TRASPLANTE</t>
        </r>
      </text>
    </comment>
    <comment ref="B91" authorId="0" shapeId="0" xr:uid="{1B3F7A97-6231-4B5E-A4EE-0E906B2A0543}">
      <text>
        <r>
          <rPr>
            <b/>
            <sz val="9"/>
            <color indexed="81"/>
            <rFont val="Tahoma"/>
            <family val="2"/>
          </rPr>
          <t>lores:</t>
        </r>
        <r>
          <rPr>
            <sz val="9"/>
            <color indexed="81"/>
            <rFont val="Tahoma"/>
            <family val="2"/>
          </rPr>
          <t xml:space="preserve">
2 VECES
A LA SEXTA SEMANA Y A LA DECIMA SEMANA</t>
        </r>
      </text>
    </comment>
    <comment ref="B92" authorId="0" shapeId="0" xr:uid="{92DE9D7B-0220-4DD4-8E18-D50A23EFAA22}">
      <text>
        <r>
          <rPr>
            <b/>
            <sz val="9"/>
            <color indexed="81"/>
            <rFont val="Tahoma"/>
            <family val="2"/>
          </rPr>
          <t>lores:</t>
        </r>
        <r>
          <rPr>
            <sz val="9"/>
            <color indexed="81"/>
            <rFont val="Tahoma"/>
            <family val="2"/>
          </rPr>
          <t xml:space="preserve">
UNA VEZ A LA MITAD
</t>
        </r>
      </text>
    </comment>
    <comment ref="B93" authorId="0" shapeId="0" xr:uid="{F6A53287-550C-40A0-A257-17C066FE372A}">
      <text>
        <r>
          <rPr>
            <b/>
            <sz val="9"/>
            <color indexed="81"/>
            <rFont val="Tahoma"/>
            <family val="2"/>
          </rPr>
          <t>lores:</t>
        </r>
        <r>
          <rPr>
            <sz val="9"/>
            <color indexed="81"/>
            <rFont val="Tahoma"/>
            <family val="2"/>
          </rPr>
          <t xml:space="preserve">
UNA SEMANA DESPUES DEL TRASPLANTE</t>
        </r>
      </text>
    </comment>
    <comment ref="C140" authorId="1" shapeId="0" xr:uid="{4DC40B59-5414-4AB6-A9AE-869C2C91124C}">
      <text>
        <r>
          <rPr>
            <b/>
            <sz val="9"/>
            <color indexed="81"/>
            <rFont val="Tahoma"/>
            <family val="2"/>
          </rPr>
          <t>Hector Balarezo:</t>
        </r>
        <r>
          <rPr>
            <sz val="9"/>
            <color indexed="81"/>
            <rFont val="Tahoma"/>
            <family val="2"/>
          </rPr>
          <t xml:space="preserve">
promedio 2812</t>
        </r>
      </text>
    </comment>
  </commentList>
</comments>
</file>

<file path=xl/sharedStrings.xml><?xml version="1.0" encoding="utf-8"?>
<sst xmlns="http://schemas.openxmlformats.org/spreadsheetml/2006/main" count="258" uniqueCount="231">
  <si>
    <t>Campaña 2024 - 481 HAS</t>
  </si>
  <si>
    <t>TC</t>
  </si>
  <si>
    <t>org</t>
  </si>
  <si>
    <r>
      <t>CAMPAÑA CONVENCIONAL: 43</t>
    </r>
    <r>
      <rPr>
        <b/>
        <sz val="11"/>
        <color rgb="FF0070C0"/>
        <rFont val="Calibri Light"/>
        <family val="1"/>
        <scheme val="major"/>
      </rPr>
      <t>0</t>
    </r>
    <r>
      <rPr>
        <b/>
        <sz val="11"/>
        <color theme="1"/>
        <rFont val="Calibri Light"/>
        <family val="1"/>
        <scheme val="major"/>
      </rPr>
      <t xml:space="preserve"> HAS </t>
    </r>
  </si>
  <si>
    <t>conv</t>
  </si>
  <si>
    <t xml:space="preserve">CAMPAÑA ORGANICO: 51 HAS </t>
  </si>
  <si>
    <t xml:space="preserve">Plantines </t>
  </si>
  <si>
    <t xml:space="preserve">Plantines org. </t>
  </si>
  <si>
    <t>Winter Campaign</t>
  </si>
  <si>
    <t>Summer Campaign</t>
  </si>
  <si>
    <t>Organic Campaign</t>
  </si>
  <si>
    <t>total</t>
  </si>
  <si>
    <t xml:space="preserve">Convencional </t>
  </si>
  <si>
    <t xml:space="preserve">Orgánico </t>
  </si>
  <si>
    <t>cantidad</t>
  </si>
  <si>
    <t>P(x) unit</t>
  </si>
  <si>
    <t>TOTAL COST</t>
  </si>
  <si>
    <t>COSTO X HA</t>
  </si>
  <si>
    <t>A)</t>
  </si>
  <si>
    <t>ALMACIGO</t>
  </si>
  <si>
    <t>1.-</t>
  </si>
  <si>
    <t>Semilla</t>
  </si>
  <si>
    <t>2.-</t>
  </si>
  <si>
    <t>Agua</t>
  </si>
  <si>
    <t>3.-</t>
  </si>
  <si>
    <t>Mano de Obra</t>
  </si>
  <si>
    <t xml:space="preserve">     - Limpieza campo</t>
  </si>
  <si>
    <t xml:space="preserve">     - Instalación Bigote</t>
  </si>
  <si>
    <t xml:space="preserve">     - Tendido de cintas </t>
  </si>
  <si>
    <t xml:space="preserve">     - Cantoneo</t>
  </si>
  <si>
    <t xml:space="preserve">     - Sacar sales</t>
  </si>
  <si>
    <t xml:space="preserve">     - Marcadores</t>
  </si>
  <si>
    <t xml:space="preserve">     - Siembra</t>
  </si>
  <si>
    <t xml:space="preserve">     - Regador ducha / Llaves</t>
  </si>
  <si>
    <t xml:space="preserve">     - Aplicaciones</t>
  </si>
  <si>
    <t xml:space="preserve">     - Deshierbo</t>
  </si>
  <si>
    <t xml:space="preserve">     - Recojo de plantines</t>
  </si>
  <si>
    <t xml:space="preserve">     - Sacar jabas al campo</t>
  </si>
  <si>
    <t xml:space="preserve">     - Control guano</t>
  </si>
  <si>
    <t xml:space="preserve">     - Otros</t>
  </si>
  <si>
    <t xml:space="preserve">     - Caporal</t>
  </si>
  <si>
    <t>4.-</t>
  </si>
  <si>
    <t>Fertilizante</t>
  </si>
  <si>
    <t xml:space="preserve">     - Nitrato de Amonio</t>
  </si>
  <si>
    <t xml:space="preserve">     - Acido fosfórico</t>
  </si>
  <si>
    <t xml:space="preserve">     - Nitrato de potasio</t>
  </si>
  <si>
    <t xml:space="preserve">     - Nitrato de calcio</t>
  </si>
  <si>
    <t xml:space="preserve">     - Sulfato de Magnesio </t>
  </si>
  <si>
    <t xml:space="preserve">     - Sulfato de Cobre</t>
  </si>
  <si>
    <t xml:space="preserve">     - Tradecorp AZ</t>
  </si>
  <si>
    <t xml:space="preserve">     - Tradecorp MN</t>
  </si>
  <si>
    <t xml:space="preserve">     - Ruster</t>
  </si>
  <si>
    <t xml:space="preserve">     - Enmienda Organico</t>
  </si>
  <si>
    <t xml:space="preserve">     - Acido Bórico</t>
  </si>
  <si>
    <t xml:space="preserve">     - Acido Húmico </t>
  </si>
  <si>
    <t xml:space="preserve">     - Enraizante</t>
  </si>
  <si>
    <t>5.-</t>
  </si>
  <si>
    <t>Agroquímicos / Foliares</t>
  </si>
  <si>
    <t>6.-</t>
  </si>
  <si>
    <t>Materia Organica</t>
  </si>
  <si>
    <t>7.-</t>
  </si>
  <si>
    <t>Maquinaria</t>
  </si>
  <si>
    <t xml:space="preserve">     - Gradeo</t>
  </si>
  <si>
    <t xml:space="preserve">     - Rayado</t>
  </si>
  <si>
    <t xml:space="preserve">     - Camas</t>
  </si>
  <si>
    <t xml:space="preserve">     - Fumigaciones</t>
  </si>
  <si>
    <t>8.-</t>
  </si>
  <si>
    <t>Transport costos</t>
  </si>
  <si>
    <t>Transporte de personal (Campo)</t>
  </si>
  <si>
    <t>9.-</t>
  </si>
  <si>
    <t>Servicio de terceros</t>
  </si>
  <si>
    <t>Asesoria Tecnica Agricola (Javier Guerra)</t>
  </si>
  <si>
    <t>B)</t>
  </si>
  <si>
    <t>CAMPO DEFINITIVO</t>
  </si>
  <si>
    <t>Alquiler de campo</t>
  </si>
  <si>
    <t>Accesorios de riego</t>
  </si>
  <si>
    <t>Materia Orgánica</t>
  </si>
  <si>
    <t>Alquiler de Maquinaria</t>
  </si>
  <si>
    <t>Fertilizantes / Abono Organico</t>
  </si>
  <si>
    <t>Agroquimicos / Foliares</t>
  </si>
  <si>
    <t>Personal Eventual s/ contrato</t>
  </si>
  <si>
    <t xml:space="preserve">     - Limpieza de campo</t>
  </si>
  <si>
    <t xml:space="preserve">    - Mantenimiento de riego tecnificado</t>
  </si>
  <si>
    <t xml:space="preserve">    - Colocaciòn y alineado de Cintas</t>
  </si>
  <si>
    <t xml:space="preserve">    - Colocaciòn de bigote</t>
  </si>
  <si>
    <t xml:space="preserve">    - Cantoneo</t>
  </si>
  <si>
    <t xml:space="preserve">    - Marcadores </t>
  </si>
  <si>
    <t xml:space="preserve">    - Jaberos </t>
  </si>
  <si>
    <t xml:space="preserve">    - Trasplante</t>
  </si>
  <si>
    <t xml:space="preserve">    - Boleo</t>
  </si>
  <si>
    <t xml:space="preserve">    - Recalce</t>
  </si>
  <si>
    <t xml:space="preserve">    - Deshierbo</t>
  </si>
  <si>
    <t xml:space="preserve">    - Arreglo, limpieza y purgado de cintas</t>
  </si>
  <si>
    <t xml:space="preserve">    - Aplicaciones fitosanitarias y herbicidas</t>
  </si>
  <si>
    <t xml:space="preserve">    - Cosecha: Jalado y Engabillado</t>
  </si>
  <si>
    <t xml:space="preserve">    - Desmoche: Corte de cuello y rabo</t>
  </si>
  <si>
    <t xml:space="preserve">    - Llenado de Arpilla</t>
  </si>
  <si>
    <t xml:space="preserve">    - Recojo del rastrojo</t>
  </si>
  <si>
    <t xml:space="preserve">    - Recojo de cintas / Bigotes</t>
  </si>
  <si>
    <t xml:space="preserve">    - Apuntador de labores</t>
  </si>
  <si>
    <t xml:space="preserve">    - Labores nuevas</t>
  </si>
  <si>
    <t>Transport costs</t>
  </si>
  <si>
    <t xml:space="preserve">Transporte de regadores </t>
  </si>
  <si>
    <t>Transporte Packing cebolla campo</t>
  </si>
  <si>
    <t>10.-</t>
  </si>
  <si>
    <t>Arpillas Campo</t>
  </si>
  <si>
    <t>11.-</t>
  </si>
  <si>
    <t>Asesoria Tecnica Agricola (Hernan Diaz)</t>
  </si>
  <si>
    <t>C)</t>
  </si>
  <si>
    <t>PACKING</t>
  </si>
  <si>
    <t>Transporte de personal (Packing)</t>
  </si>
  <si>
    <t>Personal Packing</t>
  </si>
  <si>
    <t>Certificación HACCP/SENASA</t>
  </si>
  <si>
    <t>Estiba por contenedor</t>
  </si>
  <si>
    <t>Chofer de montacarga</t>
  </si>
  <si>
    <t>Arpillas Packing</t>
  </si>
  <si>
    <t>Gas Montacargas</t>
  </si>
  <si>
    <t>Energía Packing</t>
  </si>
  <si>
    <t>D)</t>
  </si>
  <si>
    <t>GASTOS FIJOS</t>
  </si>
  <si>
    <t>15.-</t>
  </si>
  <si>
    <t>Empleados</t>
  </si>
  <si>
    <t xml:space="preserve">Jaime Lores </t>
  </si>
  <si>
    <t>Alfonso Castro</t>
  </si>
  <si>
    <t>Hector Balarezo</t>
  </si>
  <si>
    <t>Alfredo Lores</t>
  </si>
  <si>
    <t xml:space="preserve">     - Pocero (Mota - Richard Sulca)</t>
  </si>
  <si>
    <t xml:space="preserve">     - Pariona (Jefe de Campo)</t>
  </si>
  <si>
    <t xml:space="preserve">     - Jefe de Packing (Kathy)</t>
  </si>
  <si>
    <t xml:space="preserve">     - David (Packing - Mantenimiento)</t>
  </si>
  <si>
    <t xml:space="preserve">     - Logistica (Matamba)</t>
  </si>
  <si>
    <t xml:space="preserve">     - Logistica interna (Sergio)</t>
  </si>
  <si>
    <t xml:space="preserve">     - 2 Vigilantes</t>
  </si>
  <si>
    <t xml:space="preserve">     - Mariel (Asist. Adm / Certif.)</t>
  </si>
  <si>
    <t xml:space="preserve">     - RRHH Victor </t>
  </si>
  <si>
    <t xml:space="preserve">     - Asistente adm Angie Peña</t>
  </si>
  <si>
    <t>Personal Operativo</t>
  </si>
  <si>
    <t xml:space="preserve">     - Pocero 2 (NOE)</t>
  </si>
  <si>
    <t xml:space="preserve">     - Pocero 3 (Chacaltana 1)</t>
  </si>
  <si>
    <t xml:space="preserve">     - Pocero 4 (Chacaltana 2)</t>
  </si>
  <si>
    <t xml:space="preserve">     - Regadores Esperanza</t>
  </si>
  <si>
    <t xml:space="preserve">    -  Técnico de riego Leonardo</t>
  </si>
  <si>
    <t xml:space="preserve">     - Fertilizador (x contratar)</t>
  </si>
  <si>
    <t xml:space="preserve">     - Nestor Pariona (Asistente de Campo)</t>
  </si>
  <si>
    <t xml:space="preserve">     - Jhon (Almacigo convencional)</t>
  </si>
  <si>
    <t xml:space="preserve">     - Claudia (Responsable Organico)</t>
  </si>
  <si>
    <t xml:space="preserve">    -  Apuntador de labores (Sandra)</t>
  </si>
  <si>
    <t xml:space="preserve">    -  Apuntador de labores Judith</t>
  </si>
  <si>
    <t xml:space="preserve">    -  Apuntador de labores Eva</t>
  </si>
  <si>
    <t xml:space="preserve">    -  Apuntador de labores Patricia</t>
  </si>
  <si>
    <t xml:space="preserve">     - Ivan (Supervisión de aplicación)</t>
  </si>
  <si>
    <t xml:space="preserve">     - Henry Guerra (Sanidad)</t>
  </si>
  <si>
    <t xml:space="preserve">     - Anthony (Evaluador sanidad) </t>
  </si>
  <si>
    <t xml:space="preserve">     - Wilder (Supervisión de aplicación)</t>
  </si>
  <si>
    <t xml:space="preserve">     - Helen (Evaluador sanidad) </t>
  </si>
  <si>
    <t xml:space="preserve">     - Mata Pre Mezcal sanidad) </t>
  </si>
  <si>
    <t xml:space="preserve">     - Samuel (Almacén)</t>
  </si>
  <si>
    <t xml:space="preserve">     - Asistente de Almacén</t>
  </si>
  <si>
    <t xml:space="preserve">     - Travieso (Asistente de packing</t>
  </si>
  <si>
    <t xml:space="preserve">     - Maricela Morón</t>
  </si>
  <si>
    <t xml:space="preserve">    -  Limpieza campamento Esperanza</t>
  </si>
  <si>
    <t xml:space="preserve">     - Mantenimiento (Christian)</t>
  </si>
  <si>
    <t xml:space="preserve">     - Mantenimiento (ayudante)</t>
  </si>
  <si>
    <t xml:space="preserve">    -  Cocinera Chorrera (Rosa)</t>
  </si>
  <si>
    <t xml:space="preserve">    -  Cocinera Chorrera Mayra</t>
  </si>
  <si>
    <t xml:space="preserve">    - Mantenimiento areas verdes oficina Diablo</t>
  </si>
  <si>
    <t xml:space="preserve">    - Mantenimiento Condominio Cachafla</t>
  </si>
  <si>
    <t xml:space="preserve">    -  Cocinera</t>
  </si>
  <si>
    <t xml:space="preserve">     - Lourdes (Asist. Adm / Certif.)</t>
  </si>
  <si>
    <t xml:space="preserve">     - Asistente RRHH -  Melissa Padilla</t>
  </si>
  <si>
    <t>Contador</t>
  </si>
  <si>
    <t>Assoria Laboral / Asistenta Social</t>
  </si>
  <si>
    <t>Telefonia</t>
  </si>
  <si>
    <t>Internet</t>
  </si>
  <si>
    <t>Sprinter</t>
  </si>
  <si>
    <t>Transporte de personal de Oficina</t>
  </si>
  <si>
    <t>Hosting Dominio Correo Eléctrónico</t>
  </si>
  <si>
    <t>Global Gap / Orgánico</t>
  </si>
  <si>
    <t>Certificación Global Gap</t>
  </si>
  <si>
    <t>NOP Certification</t>
  </si>
  <si>
    <t>Fortiseg</t>
  </si>
  <si>
    <t>Seguros Flota</t>
  </si>
  <si>
    <t>Seguro todo riesgo</t>
  </si>
  <si>
    <t>Vigilancia nocturna Securitas</t>
  </si>
  <si>
    <t>Vigilancia Panamericana</t>
  </si>
  <si>
    <t>18.-</t>
  </si>
  <si>
    <t>Gastos Varios</t>
  </si>
  <si>
    <t>COMBUSTIBLE</t>
  </si>
  <si>
    <t>Combustible General</t>
  </si>
  <si>
    <t>Combustible Jaime</t>
  </si>
  <si>
    <t>MANTENIMIENTO Y REPARACION</t>
  </si>
  <si>
    <t>Mantenimiento Flota camionetas</t>
  </si>
  <si>
    <t>Reparaciones Flota camionetas</t>
  </si>
  <si>
    <t xml:space="preserve">Mantenimiento motos </t>
  </si>
  <si>
    <t xml:space="preserve">Mantenimiento motores </t>
  </si>
  <si>
    <t xml:space="preserve">Mantenimiento Eléctricos </t>
  </si>
  <si>
    <t>SUMINISTROS</t>
  </si>
  <si>
    <t>Aceite motores</t>
  </si>
  <si>
    <t>COVID-19</t>
  </si>
  <si>
    <t>OTROS GTOS DE PERSONAL</t>
  </si>
  <si>
    <t xml:space="preserve">SST/ Vida Ley </t>
  </si>
  <si>
    <t>Vivienda Jaime y Alfredo</t>
  </si>
  <si>
    <t xml:space="preserve">Compras de Viveres comedor Fundo </t>
  </si>
  <si>
    <t>SUB TOTAL</t>
  </si>
  <si>
    <t>21.-</t>
  </si>
  <si>
    <t>Otros</t>
  </si>
  <si>
    <t>TOTAL 2022</t>
  </si>
  <si>
    <t>X HA</t>
  </si>
  <si>
    <t>HAS</t>
  </si>
  <si>
    <t>latas</t>
  </si>
  <si>
    <t>precio</t>
  </si>
  <si>
    <t>Costo Campo</t>
  </si>
  <si>
    <t>Soles</t>
  </si>
  <si>
    <t xml:space="preserve">Century </t>
  </si>
  <si>
    <t>Costo campo x HA</t>
  </si>
  <si>
    <t>Macon</t>
  </si>
  <si>
    <t>Costo Packing</t>
  </si>
  <si>
    <t>CL</t>
  </si>
  <si>
    <t>COMVENCIONAL</t>
  </si>
  <si>
    <t>ORGANICO</t>
  </si>
  <si>
    <t>Costo Packing x HA</t>
  </si>
  <si>
    <t>Costos fijos</t>
  </si>
  <si>
    <t>Macon org</t>
  </si>
  <si>
    <t>Costo fijo x HA</t>
  </si>
  <si>
    <t>Century Org</t>
  </si>
  <si>
    <t>Costo Total</t>
  </si>
  <si>
    <t>CAMPO</t>
  </si>
  <si>
    <t>CL Org</t>
  </si>
  <si>
    <t>Costo total x HA</t>
  </si>
  <si>
    <t>INDIRECTO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</si>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</sst>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[$$-45C]#,##0.00"/>
    <numFmt numFmtId="168" formatCode="[$$-45C]#,##0"/>
    <numFmt numFmtId="169" formatCode="_ * #,##0.000_ ;_ * \-#,##0.000_ ;_ * &quot;-&quot;??_ ;_ @_ "/>
    <numFmt numFmtId="170" formatCode="_ * #,##0_ ;_ * \-#,##0_ ;_ * &quot;-&quot;???_ ;_ @_ "/>
    <numFmt numFmtId="171" formatCode="[$$-540A]#,##0"/>
  </numFmts>
  <fonts count="3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Georgia"/>
      <family val="1"/>
    </font>
    <font>
      <b/>
      <sz val="14"/>
      <color rgb="FF0070C0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b/>
      <sz val="11"/>
      <color rgb="FF0070C0"/>
      <name val="Calibri Light"/>
      <family val="1"/>
      <scheme val="maj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u/>
      <sz val="10"/>
      <name val="Calibri Light"/>
      <family val="1"/>
      <scheme val="major"/>
    </font>
    <font>
      <b/>
      <sz val="10"/>
      <name val="Calibri Light"/>
      <family val="1"/>
      <scheme val="major"/>
    </font>
    <font>
      <u/>
      <sz val="10"/>
      <name val="Calibri Light"/>
      <family val="1"/>
      <scheme val="major"/>
    </font>
    <font>
      <sz val="11"/>
      <name val="Calibri"/>
      <family val="2"/>
    </font>
    <font>
      <sz val="10"/>
      <name val="Calibri Light"/>
      <family val="1"/>
      <scheme val="major"/>
    </font>
    <font>
      <sz val="11"/>
      <name val="Calibri"/>
      <family val="2"/>
      <scheme val="minor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rgb="FFFF0000"/>
      <name val="Calibri"/>
      <family val="2"/>
    </font>
    <font>
      <b/>
      <sz val="10"/>
      <color rgb="FFFF0000"/>
      <name val="Arial"/>
      <family val="2"/>
    </font>
    <font>
      <sz val="10"/>
      <color rgb="FFFF0000"/>
      <name val="Calibri Light"/>
      <family val="1"/>
      <scheme val="major"/>
    </font>
    <font>
      <b/>
      <sz val="11"/>
      <color rgb="FFFF0000"/>
      <name val="Calibri"/>
      <family val="2"/>
      <scheme val="minor"/>
    </font>
    <font>
      <sz val="11"/>
      <color rgb="FFFFC000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AEF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4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59">
    <xf numFmtId="0" fontId="0" fillId="0" borderId="0" xfId="0"/>
    <xf numFmtId="0" fontId="4" fillId="0" borderId="0" xfId="0" applyFont="1"/>
    <xf numFmtId="0" fontId="1" fillId="0" borderId="0" xfId="2"/>
    <xf numFmtId="0" fontId="5" fillId="0" borderId="0" xfId="2" applyFont="1" applyAlignment="1">
      <alignment horizontal="right"/>
    </xf>
    <xf numFmtId="0" fontId="5" fillId="0" borderId="0" xfId="2" applyFont="1" applyAlignment="1">
      <alignment horizontal="left"/>
    </xf>
    <xf numFmtId="0" fontId="3" fillId="0" borderId="0" xfId="2" applyFont="1"/>
    <xf numFmtId="165" fontId="0" fillId="0" borderId="0" xfId="3" applyNumberFormat="1" applyFont="1"/>
    <xf numFmtId="0" fontId="6" fillId="0" borderId="0" xfId="0" applyFont="1" applyAlignment="1">
      <alignment horizontal="left"/>
    </xf>
    <xf numFmtId="165" fontId="0" fillId="0" borderId="1" xfId="3" applyNumberFormat="1" applyFont="1" applyBorder="1"/>
    <xf numFmtId="166" fontId="3" fillId="0" borderId="0" xfId="0" applyNumberFormat="1" applyFont="1"/>
    <xf numFmtId="2" fontId="3" fillId="0" borderId="0" xfId="0" applyNumberFormat="1" applyFont="1"/>
    <xf numFmtId="0" fontId="6" fillId="0" borderId="0" xfId="0" applyFont="1"/>
    <xf numFmtId="167" fontId="6" fillId="0" borderId="0" xfId="0" applyNumberFormat="1" applyFont="1"/>
    <xf numFmtId="168" fontId="3" fillId="0" borderId="0" xfId="0" applyNumberFormat="1" applyFont="1"/>
    <xf numFmtId="167" fontId="3" fillId="0" borderId="0" xfId="0" applyNumberFormat="1" applyFont="1"/>
    <xf numFmtId="166" fontId="0" fillId="0" borderId="0" xfId="0" applyNumberFormat="1"/>
    <xf numFmtId="0" fontId="3" fillId="0" borderId="0" xfId="0" applyFont="1"/>
    <xf numFmtId="167" fontId="0" fillId="0" borderId="0" xfId="0" applyNumberFormat="1"/>
    <xf numFmtId="165" fontId="0" fillId="0" borderId="0" xfId="3" applyNumberFormat="1" applyFont="1" applyAlignment="1">
      <alignment horizontal="center"/>
    </xf>
    <xf numFmtId="0" fontId="7" fillId="0" borderId="0" xfId="2" applyFont="1" applyAlignment="1">
      <alignment horizontal="left"/>
    </xf>
    <xf numFmtId="0" fontId="8" fillId="0" borderId="0" xfId="2" applyFont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0" borderId="0" xfId="2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/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8" fillId="3" borderId="5" xfId="2" applyFont="1" applyFill="1" applyBorder="1" applyAlignment="1">
      <alignment horizontal="center"/>
    </xf>
    <xf numFmtId="165" fontId="3" fillId="0" borderId="0" xfId="3" applyNumberFormat="1" applyFont="1" applyAlignment="1">
      <alignment horizontal="center"/>
    </xf>
    <xf numFmtId="0" fontId="3" fillId="2" borderId="5" xfId="2" applyFont="1" applyFill="1" applyBorder="1"/>
    <xf numFmtId="165" fontId="3" fillId="3" borderId="0" xfId="3" applyNumberFormat="1" applyFont="1" applyFill="1"/>
    <xf numFmtId="0" fontId="10" fillId="4" borderId="6" xfId="2" applyFont="1" applyFill="1" applyBorder="1" applyAlignment="1">
      <alignment horizontal="left"/>
    </xf>
    <xf numFmtId="0" fontId="11" fillId="4" borderId="7" xfId="2" applyFont="1" applyFill="1" applyBorder="1"/>
    <xf numFmtId="0" fontId="8" fillId="4" borderId="7" xfId="2" applyFont="1" applyFill="1" applyBorder="1"/>
    <xf numFmtId="0" fontId="1" fillId="4" borderId="7" xfId="2" applyFill="1" applyBorder="1"/>
    <xf numFmtId="168" fontId="3" fillId="4" borderId="7" xfId="2" applyNumberFormat="1" applyFont="1" applyFill="1" applyBorder="1"/>
    <xf numFmtId="0" fontId="1" fillId="4" borderId="0" xfId="2" applyFill="1"/>
    <xf numFmtId="165" fontId="3" fillId="4" borderId="7" xfId="3" applyNumberFormat="1" applyFont="1" applyFill="1" applyBorder="1"/>
    <xf numFmtId="168" fontId="1" fillId="0" borderId="0" xfId="2" applyNumberFormat="1"/>
    <xf numFmtId="164" fontId="1" fillId="0" borderId="0" xfId="2" applyNumberFormat="1"/>
    <xf numFmtId="0" fontId="10" fillId="0" borderId="8" xfId="2" applyFont="1" applyBorder="1" applyAlignment="1">
      <alignment horizontal="left"/>
    </xf>
    <xf numFmtId="0" fontId="11" fillId="0" borderId="8" xfId="2" applyFont="1" applyBorder="1"/>
    <xf numFmtId="0" fontId="11" fillId="0" borderId="0" xfId="2" applyFont="1"/>
    <xf numFmtId="0" fontId="10" fillId="5" borderId="9" xfId="2" applyFont="1" applyFill="1" applyBorder="1" applyAlignment="1">
      <alignment horizontal="left"/>
    </xf>
    <xf numFmtId="0" fontId="12" fillId="5" borderId="9" xfId="2" applyFont="1" applyFill="1" applyBorder="1"/>
    <xf numFmtId="0" fontId="11" fillId="0" borderId="9" xfId="2" applyFont="1" applyBorder="1"/>
    <xf numFmtId="1" fontId="1" fillId="0" borderId="9" xfId="2" applyNumberFormat="1" applyBorder="1"/>
    <xf numFmtId="168" fontId="1" fillId="0" borderId="9" xfId="2" applyNumberFormat="1" applyBorder="1"/>
    <xf numFmtId="168" fontId="3" fillId="0" borderId="9" xfId="2" applyNumberFormat="1" applyFont="1" applyBorder="1"/>
    <xf numFmtId="0" fontId="1" fillId="2" borderId="0" xfId="2" applyFill="1"/>
    <xf numFmtId="165" fontId="0" fillId="2" borderId="0" xfId="3" applyNumberFormat="1" applyFont="1" applyFill="1"/>
    <xf numFmtId="0" fontId="13" fillId="0" borderId="9" xfId="2" applyFont="1" applyBorder="1"/>
    <xf numFmtId="169" fontId="1" fillId="0" borderId="9" xfId="1" applyNumberFormat="1" applyFont="1" applyFill="1" applyBorder="1"/>
    <xf numFmtId="165" fontId="3" fillId="0" borderId="9" xfId="1" applyNumberFormat="1" applyFont="1" applyFill="1" applyBorder="1"/>
    <xf numFmtId="166" fontId="1" fillId="0" borderId="9" xfId="2" applyNumberFormat="1" applyBorder="1"/>
    <xf numFmtId="167" fontId="3" fillId="0" borderId="9" xfId="2" applyNumberFormat="1" applyFont="1" applyBorder="1"/>
    <xf numFmtId="0" fontId="1" fillId="6" borderId="0" xfId="2" applyFill="1"/>
    <xf numFmtId="165" fontId="1" fillId="0" borderId="0" xfId="2" applyNumberFormat="1"/>
    <xf numFmtId="0" fontId="13" fillId="0" borderId="0" xfId="2" applyFont="1"/>
    <xf numFmtId="168" fontId="3" fillId="0" borderId="0" xfId="2" applyNumberFormat="1" applyFont="1"/>
    <xf numFmtId="1" fontId="9" fillId="0" borderId="9" xfId="2" applyNumberFormat="1" applyFont="1" applyBorder="1"/>
    <xf numFmtId="2" fontId="2" fillId="0" borderId="9" xfId="2" applyNumberFormat="1" applyFont="1" applyBorder="1"/>
    <xf numFmtId="0" fontId="10" fillId="0" borderId="9" xfId="2" applyFont="1" applyBorder="1" applyAlignment="1">
      <alignment horizontal="left"/>
    </xf>
    <xf numFmtId="0" fontId="15" fillId="0" borderId="9" xfId="2" applyFont="1" applyBorder="1"/>
    <xf numFmtId="2" fontId="15" fillId="0" borderId="9" xfId="2" applyNumberFormat="1" applyFont="1" applyBorder="1"/>
    <xf numFmtId="2" fontId="1" fillId="0" borderId="9" xfId="2" applyNumberFormat="1" applyBorder="1"/>
    <xf numFmtId="1" fontId="3" fillId="0" borderId="9" xfId="2" applyNumberFormat="1" applyFont="1" applyBorder="1"/>
    <xf numFmtId="164" fontId="0" fillId="0" borderId="0" xfId="3" applyFont="1"/>
    <xf numFmtId="166" fontId="2" fillId="0" borderId="9" xfId="2" applyNumberFormat="1" applyFont="1" applyBorder="1"/>
    <xf numFmtId="0" fontId="10" fillId="0" borderId="10" xfId="2" applyFont="1" applyBorder="1" applyAlignment="1">
      <alignment horizontal="left"/>
    </xf>
    <xf numFmtId="0" fontId="15" fillId="0" borderId="8" xfId="2" applyFont="1" applyBorder="1"/>
    <xf numFmtId="0" fontId="15" fillId="0" borderId="0" xfId="2" applyFont="1"/>
    <xf numFmtId="165" fontId="0" fillId="0" borderId="0" xfId="3" applyNumberFormat="1" applyFont="1" applyFill="1"/>
    <xf numFmtId="0" fontId="1" fillId="0" borderId="9" xfId="2" applyBorder="1"/>
    <xf numFmtId="166" fontId="15" fillId="0" borderId="9" xfId="2" applyNumberFormat="1" applyFont="1" applyBorder="1"/>
    <xf numFmtId="2" fontId="0" fillId="7" borderId="9" xfId="0" applyNumberFormat="1" applyFill="1" applyBorder="1"/>
    <xf numFmtId="2" fontId="0" fillId="0" borderId="9" xfId="0" applyNumberFormat="1" applyBorder="1"/>
    <xf numFmtId="0" fontId="10" fillId="0" borderId="11" xfId="2" applyFont="1" applyBorder="1" applyAlignment="1">
      <alignment horizontal="left"/>
    </xf>
    <xf numFmtId="0" fontId="13" fillId="0" borderId="8" xfId="2" applyFont="1" applyBorder="1"/>
    <xf numFmtId="1" fontId="15" fillId="0" borderId="9" xfId="2" applyNumberFormat="1" applyFont="1" applyBorder="1"/>
    <xf numFmtId="170" fontId="1" fillId="0" borderId="9" xfId="2" applyNumberFormat="1" applyBorder="1"/>
    <xf numFmtId="1" fontId="16" fillId="0" borderId="9" xfId="2" applyNumberFormat="1" applyFont="1" applyBorder="1"/>
    <xf numFmtId="2" fontId="16" fillId="0" borderId="9" xfId="2" applyNumberFormat="1" applyFont="1" applyBorder="1"/>
    <xf numFmtId="0" fontId="17" fillId="0" borderId="8" xfId="2" applyFont="1" applyBorder="1"/>
    <xf numFmtId="0" fontId="17" fillId="0" borderId="0" xfId="2" applyFont="1"/>
    <xf numFmtId="0" fontId="18" fillId="0" borderId="9" xfId="2" applyFont="1" applyBorder="1"/>
    <xf numFmtId="0" fontId="3" fillId="0" borderId="9" xfId="2" applyFont="1" applyBorder="1"/>
    <xf numFmtId="0" fontId="10" fillId="8" borderId="9" xfId="2" applyFont="1" applyFill="1" applyBorder="1" applyAlignment="1">
      <alignment horizontal="left"/>
    </xf>
    <xf numFmtId="0" fontId="12" fillId="8" borderId="9" xfId="2" applyFont="1" applyFill="1" applyBorder="1"/>
    <xf numFmtId="0" fontId="15" fillId="8" borderId="9" xfId="2" applyFont="1" applyFill="1" applyBorder="1"/>
    <xf numFmtId="0" fontId="1" fillId="8" borderId="9" xfId="2" applyFill="1" applyBorder="1"/>
    <xf numFmtId="2" fontId="1" fillId="8" borderId="9" xfId="2" applyNumberFormat="1" applyFill="1" applyBorder="1"/>
    <xf numFmtId="168" fontId="3" fillId="8" borderId="9" xfId="2" applyNumberFormat="1" applyFont="1" applyFill="1" applyBorder="1"/>
    <xf numFmtId="168" fontId="1" fillId="8" borderId="9" xfId="2" applyNumberFormat="1" applyFill="1" applyBorder="1"/>
    <xf numFmtId="0" fontId="12" fillId="0" borderId="8" xfId="2" applyFont="1" applyBorder="1"/>
    <xf numFmtId="0" fontId="12" fillId="0" borderId="0" xfId="2" applyFont="1"/>
    <xf numFmtId="165" fontId="10" fillId="4" borderId="6" xfId="3" applyNumberFormat="1" applyFont="1" applyFill="1" applyBorder="1" applyAlignment="1">
      <alignment horizontal="left"/>
    </xf>
    <xf numFmtId="165" fontId="11" fillId="4" borderId="7" xfId="3" applyNumberFormat="1" applyFont="1" applyFill="1" applyBorder="1"/>
    <xf numFmtId="0" fontId="1" fillId="0" borderId="8" xfId="2" applyBorder="1"/>
    <xf numFmtId="0" fontId="15" fillId="0" borderId="9" xfId="0" applyFont="1" applyBorder="1"/>
    <xf numFmtId="0" fontId="16" fillId="0" borderId="9" xfId="0" applyFont="1" applyBorder="1"/>
    <xf numFmtId="2" fontId="16" fillId="0" borderId="9" xfId="0" applyNumberFormat="1" applyFont="1" applyBorder="1"/>
    <xf numFmtId="0" fontId="16" fillId="0" borderId="9" xfId="2" applyFont="1" applyBorder="1"/>
    <xf numFmtId="165" fontId="0" fillId="9" borderId="0" xfId="3" applyNumberFormat="1" applyFont="1" applyFill="1"/>
    <xf numFmtId="168" fontId="9" fillId="0" borderId="9" xfId="2" applyNumberFormat="1" applyFont="1" applyBorder="1"/>
    <xf numFmtId="165" fontId="2" fillId="2" borderId="0" xfId="3" applyNumberFormat="1" applyFont="1" applyFill="1"/>
    <xf numFmtId="165" fontId="19" fillId="2" borderId="0" xfId="3" applyNumberFormat="1" applyFont="1" applyFill="1"/>
    <xf numFmtId="165" fontId="16" fillId="0" borderId="0" xfId="3" applyNumberFormat="1" applyFont="1" applyFill="1"/>
    <xf numFmtId="0" fontId="15" fillId="0" borderId="9" xfId="2" applyFont="1" applyBorder="1" applyAlignment="1">
      <alignment horizontal="left" indent="1"/>
    </xf>
    <xf numFmtId="0" fontId="20" fillId="0" borderId="9" xfId="2" applyFont="1" applyBorder="1" applyAlignment="1">
      <alignment horizontal="left"/>
    </xf>
    <xf numFmtId="0" fontId="21" fillId="0" borderId="9" xfId="2" applyFont="1" applyBorder="1" applyAlignment="1">
      <alignment horizontal="left" indent="1"/>
    </xf>
    <xf numFmtId="0" fontId="21" fillId="0" borderId="9" xfId="2" applyFont="1" applyBorder="1"/>
    <xf numFmtId="1" fontId="2" fillId="0" borderId="9" xfId="2" applyNumberFormat="1" applyFont="1" applyBorder="1"/>
    <xf numFmtId="168" fontId="2" fillId="0" borderId="9" xfId="2" applyNumberFormat="1" applyFont="1" applyBorder="1"/>
    <xf numFmtId="168" fontId="22" fillId="0" borderId="9" xfId="2" applyNumberFormat="1" applyFont="1" applyBorder="1"/>
    <xf numFmtId="0" fontId="2" fillId="0" borderId="9" xfId="2" applyFont="1" applyBorder="1"/>
    <xf numFmtId="0" fontId="2" fillId="0" borderId="0" xfId="2" applyFont="1"/>
    <xf numFmtId="165" fontId="19" fillId="0" borderId="0" xfId="3" applyNumberFormat="1" applyFont="1" applyFill="1"/>
    <xf numFmtId="165" fontId="19" fillId="0" borderId="0" xfId="3" applyNumberFormat="1" applyFont="1"/>
    <xf numFmtId="165" fontId="0" fillId="6" borderId="0" xfId="3" applyNumberFormat="1" applyFont="1" applyFill="1"/>
    <xf numFmtId="0" fontId="17" fillId="0" borderId="9" xfId="2" applyFont="1" applyBorder="1"/>
    <xf numFmtId="0" fontId="12" fillId="0" borderId="9" xfId="2" applyFont="1" applyBorder="1"/>
    <xf numFmtId="0" fontId="10" fillId="2" borderId="10" xfId="2" applyFont="1" applyFill="1" applyBorder="1" applyAlignment="1">
      <alignment horizontal="left"/>
    </xf>
    <xf numFmtId="0" fontId="12" fillId="2" borderId="10" xfId="2" applyFont="1" applyFill="1" applyBorder="1"/>
    <xf numFmtId="0" fontId="17" fillId="2" borderId="0" xfId="2" applyFont="1" applyFill="1"/>
    <xf numFmtId="2" fontId="1" fillId="2" borderId="0" xfId="2" applyNumberFormat="1" applyFill="1"/>
    <xf numFmtId="168" fontId="3" fillId="2" borderId="0" xfId="2" applyNumberFormat="1" applyFont="1" applyFill="1"/>
    <xf numFmtId="164" fontId="0" fillId="2" borderId="0" xfId="3" applyFont="1" applyFill="1"/>
    <xf numFmtId="0" fontId="3" fillId="4" borderId="7" xfId="2" applyFont="1" applyFill="1" applyBorder="1"/>
    <xf numFmtId="165" fontId="3" fillId="4" borderId="0" xfId="3" applyNumberFormat="1" applyFont="1" applyFill="1"/>
    <xf numFmtId="165" fontId="0" fillId="4" borderId="0" xfId="3" applyNumberFormat="1" applyFont="1" applyFill="1"/>
    <xf numFmtId="165" fontId="0" fillId="0" borderId="0" xfId="3" applyNumberFormat="1" applyFont="1" applyFill="1" applyBorder="1"/>
    <xf numFmtId="0" fontId="10" fillId="2" borderId="9" xfId="2" applyFont="1" applyFill="1" applyBorder="1" applyAlignment="1">
      <alignment horizontal="left"/>
    </xf>
    <xf numFmtId="165" fontId="0" fillId="9" borderId="0" xfId="3" applyNumberFormat="1" applyFont="1" applyFill="1" applyBorder="1"/>
    <xf numFmtId="165" fontId="0" fillId="10" borderId="0" xfId="3" applyNumberFormat="1" applyFont="1" applyFill="1" applyBorder="1"/>
    <xf numFmtId="168" fontId="16" fillId="0" borderId="9" xfId="2" applyNumberFormat="1" applyFont="1" applyBorder="1"/>
    <xf numFmtId="165" fontId="0" fillId="10" borderId="0" xfId="3" applyNumberFormat="1" applyFont="1" applyFill="1"/>
    <xf numFmtId="165" fontId="2" fillId="0" borderId="0" xfId="3" applyNumberFormat="1" applyFont="1" applyBorder="1"/>
    <xf numFmtId="165" fontId="2" fillId="0" borderId="0" xfId="3" applyNumberFormat="1" applyFont="1"/>
    <xf numFmtId="165" fontId="2" fillId="0" borderId="0" xfId="3" applyNumberFormat="1" applyFont="1" applyFill="1"/>
    <xf numFmtId="1" fontId="1" fillId="0" borderId="0" xfId="2" applyNumberFormat="1"/>
    <xf numFmtId="0" fontId="1" fillId="11" borderId="9" xfId="2" applyFill="1" applyBorder="1"/>
    <xf numFmtId="165" fontId="23" fillId="10" borderId="0" xfId="3" applyNumberFormat="1" applyFont="1" applyFill="1"/>
    <xf numFmtId="168" fontId="1" fillId="11" borderId="9" xfId="2" applyNumberFormat="1" applyFill="1" applyBorder="1"/>
    <xf numFmtId="165" fontId="0" fillId="0" borderId="0" xfId="3" applyNumberFormat="1" applyFont="1" applyBorder="1"/>
    <xf numFmtId="0" fontId="10" fillId="12" borderId="6" xfId="2" applyFont="1" applyFill="1" applyBorder="1" applyAlignment="1">
      <alignment horizontal="left" vertical="center"/>
    </xf>
    <xf numFmtId="0" fontId="11" fillId="12" borderId="7" xfId="2" applyFont="1" applyFill="1" applyBorder="1" applyAlignment="1">
      <alignment vertical="center"/>
    </xf>
    <xf numFmtId="0" fontId="3" fillId="12" borderId="7" xfId="2" applyFont="1" applyFill="1" applyBorder="1" applyAlignment="1">
      <alignment vertical="center"/>
    </xf>
    <xf numFmtId="168" fontId="3" fillId="12" borderId="7" xfId="2" applyNumberFormat="1" applyFont="1" applyFill="1" applyBorder="1" applyAlignment="1">
      <alignment vertical="center"/>
    </xf>
    <xf numFmtId="168" fontId="3" fillId="12" borderId="12" xfId="2" applyNumberFormat="1" applyFont="1" applyFill="1" applyBorder="1" applyAlignment="1">
      <alignment vertical="center"/>
    </xf>
    <xf numFmtId="168" fontId="3" fillId="12" borderId="13" xfId="2" applyNumberFormat="1" applyFont="1" applyFill="1" applyBorder="1" applyAlignment="1">
      <alignment vertical="center"/>
    </xf>
    <xf numFmtId="0" fontId="1" fillId="12" borderId="0" xfId="2" applyFill="1" applyAlignment="1">
      <alignment vertical="center"/>
    </xf>
    <xf numFmtId="168" fontId="3" fillId="12" borderId="5" xfId="2" applyNumberFormat="1" applyFont="1" applyFill="1" applyBorder="1" applyAlignment="1">
      <alignment vertical="center"/>
    </xf>
    <xf numFmtId="165" fontId="1" fillId="12" borderId="4" xfId="3" applyNumberFormat="1" applyFont="1" applyFill="1" applyBorder="1" applyAlignment="1">
      <alignment vertical="center"/>
    </xf>
    <xf numFmtId="165" fontId="3" fillId="0" borderId="0" xfId="3" applyNumberFormat="1" applyFont="1" applyFill="1" applyBorder="1"/>
    <xf numFmtId="167" fontId="3" fillId="0" borderId="0" xfId="2" applyNumberFormat="1" applyFont="1"/>
    <xf numFmtId="165" fontId="1" fillId="0" borderId="0" xfId="3" applyNumberFormat="1" applyFont="1" applyFill="1" applyAlignment="1">
      <alignment vertical="center"/>
    </xf>
    <xf numFmtId="165" fontId="1" fillId="0" borderId="0" xfId="3" applyNumberFormat="1" applyFont="1" applyFill="1"/>
    <xf numFmtId="0" fontId="12" fillId="2" borderId="9" xfId="2" applyFont="1" applyFill="1" applyBorder="1"/>
    <xf numFmtId="0" fontId="18" fillId="2" borderId="9" xfId="2" applyFont="1" applyFill="1" applyBorder="1"/>
    <xf numFmtId="0" fontId="3" fillId="2" borderId="9" xfId="2" applyFont="1" applyFill="1" applyBorder="1"/>
    <xf numFmtId="168" fontId="3" fillId="2" borderId="9" xfId="2" applyNumberFormat="1" applyFont="1" applyFill="1" applyBorder="1"/>
    <xf numFmtId="167" fontId="1" fillId="0" borderId="0" xfId="2" applyNumberFormat="1"/>
    <xf numFmtId="0" fontId="22" fillId="0" borderId="9" xfId="2" applyFont="1" applyBorder="1"/>
    <xf numFmtId="0" fontId="1" fillId="9" borderId="9" xfId="2" applyFill="1" applyBorder="1"/>
    <xf numFmtId="1" fontId="1" fillId="9" borderId="9" xfId="2" applyNumberFormat="1" applyFill="1" applyBorder="1"/>
    <xf numFmtId="0" fontId="3" fillId="9" borderId="9" xfId="2" applyFont="1" applyFill="1" applyBorder="1"/>
    <xf numFmtId="168" fontId="1" fillId="9" borderId="9" xfId="2" applyNumberFormat="1" applyFill="1" applyBorder="1"/>
    <xf numFmtId="0" fontId="0" fillId="9" borderId="9" xfId="0" applyFill="1" applyBorder="1"/>
    <xf numFmtId="1" fontId="0" fillId="9" borderId="9" xfId="0" applyNumberFormat="1" applyFill="1" applyBorder="1"/>
    <xf numFmtId="0" fontId="3" fillId="9" borderId="9" xfId="0" applyFont="1" applyFill="1" applyBorder="1"/>
    <xf numFmtId="168" fontId="0" fillId="9" borderId="9" xfId="0" applyNumberFormat="1" applyFill="1" applyBorder="1"/>
    <xf numFmtId="0" fontId="1" fillId="2" borderId="9" xfId="2" applyFill="1" applyBorder="1"/>
    <xf numFmtId="0" fontId="1" fillId="13" borderId="9" xfId="2" applyFill="1" applyBorder="1"/>
    <xf numFmtId="0" fontId="1" fillId="14" borderId="9" xfId="2" applyFill="1" applyBorder="1"/>
    <xf numFmtId="165" fontId="3" fillId="0" borderId="0" xfId="3" applyNumberFormat="1" applyFont="1" applyFill="1"/>
    <xf numFmtId="165" fontId="24" fillId="0" borderId="0" xfId="3" applyNumberFormat="1" applyFont="1" applyFill="1" applyBorder="1"/>
    <xf numFmtId="0" fontId="0" fillId="0" borderId="9" xfId="0" applyBorder="1"/>
    <xf numFmtId="1" fontId="0" fillId="11" borderId="9" xfId="0" applyNumberFormat="1" applyFill="1" applyBorder="1"/>
    <xf numFmtId="0" fontId="3" fillId="0" borderId="9" xfId="0" applyFont="1" applyBorder="1"/>
    <xf numFmtId="168" fontId="0" fillId="0" borderId="9" xfId="0" applyNumberFormat="1" applyBorder="1"/>
    <xf numFmtId="1" fontId="16" fillId="11" borderId="9" xfId="0" applyNumberFormat="1" applyFont="1" applyFill="1" applyBorder="1"/>
    <xf numFmtId="1" fontId="0" fillId="0" borderId="9" xfId="0" applyNumberFormat="1" applyBorder="1"/>
    <xf numFmtId="164" fontId="0" fillId="0" borderId="0" xfId="3" applyFont="1" applyFill="1" applyBorder="1"/>
    <xf numFmtId="1" fontId="1" fillId="11" borderId="9" xfId="2" applyNumberFormat="1" applyFill="1" applyBorder="1"/>
    <xf numFmtId="9" fontId="0" fillId="0" borderId="9" xfId="4" applyFont="1" applyBorder="1"/>
    <xf numFmtId="9" fontId="3" fillId="0" borderId="0" xfId="4" applyFont="1"/>
    <xf numFmtId="9" fontId="0" fillId="0" borderId="0" xfId="4" applyFont="1"/>
    <xf numFmtId="167" fontId="3" fillId="2" borderId="9" xfId="2" applyNumberFormat="1" applyFont="1" applyFill="1" applyBorder="1"/>
    <xf numFmtId="0" fontId="1" fillId="0" borderId="9" xfId="2" applyBorder="1" applyAlignment="1">
      <alignment horizontal="left" indent="1"/>
    </xf>
    <xf numFmtId="0" fontId="2" fillId="0" borderId="9" xfId="2" applyFont="1" applyBorder="1" applyAlignment="1">
      <alignment horizontal="left" indent="1"/>
    </xf>
    <xf numFmtId="168" fontId="2" fillId="11" borderId="9" xfId="2" applyNumberFormat="1" applyFont="1" applyFill="1" applyBorder="1"/>
    <xf numFmtId="0" fontId="3" fillId="0" borderId="9" xfId="2" applyFont="1" applyBorder="1" applyAlignment="1">
      <alignment horizontal="left" indent="1"/>
    </xf>
    <xf numFmtId="165" fontId="3" fillId="0" borderId="9" xfId="2" applyNumberFormat="1" applyFont="1" applyBorder="1"/>
    <xf numFmtId="168" fontId="3" fillId="11" borderId="9" xfId="2" applyNumberFormat="1" applyFont="1" applyFill="1" applyBorder="1"/>
    <xf numFmtId="0" fontId="1" fillId="0" borderId="9" xfId="2" applyBorder="1" applyAlignment="1">
      <alignment horizontal="left"/>
    </xf>
    <xf numFmtId="165" fontId="0" fillId="0" borderId="9" xfId="3" applyNumberFormat="1" applyFont="1" applyFill="1" applyBorder="1"/>
    <xf numFmtId="165" fontId="1" fillId="0" borderId="9" xfId="3" applyNumberFormat="1" applyFont="1" applyFill="1" applyBorder="1"/>
    <xf numFmtId="0" fontId="17" fillId="2" borderId="9" xfId="2" applyFont="1" applyFill="1" applyBorder="1"/>
    <xf numFmtId="0" fontId="25" fillId="0" borderId="9" xfId="2" applyFont="1" applyBorder="1" applyAlignment="1">
      <alignment horizontal="left"/>
    </xf>
    <xf numFmtId="0" fontId="26" fillId="0" borderId="9" xfId="2" applyFont="1" applyBorder="1"/>
    <xf numFmtId="168" fontId="1" fillId="0" borderId="9" xfId="5" applyNumberFormat="1" applyBorder="1"/>
    <xf numFmtId="0" fontId="3" fillId="2" borderId="9" xfId="2" applyFont="1" applyFill="1" applyBorder="1" applyAlignment="1">
      <alignment horizontal="left" indent="1"/>
    </xf>
    <xf numFmtId="168" fontId="9" fillId="2" borderId="9" xfId="2" applyNumberFormat="1" applyFont="1" applyFill="1" applyBorder="1"/>
    <xf numFmtId="165" fontId="3" fillId="0" borderId="0" xfId="3" applyNumberFormat="1" applyFont="1" applyFill="1" applyAlignment="1">
      <alignment vertical="center"/>
    </xf>
    <xf numFmtId="0" fontId="27" fillId="0" borderId="9" xfId="2" applyFont="1" applyBorder="1"/>
    <xf numFmtId="0" fontId="17" fillId="0" borderId="10" xfId="2" applyFont="1" applyBorder="1"/>
    <xf numFmtId="171" fontId="12" fillId="2" borderId="9" xfId="2" applyNumberFormat="1" applyFont="1" applyFill="1" applyBorder="1"/>
    <xf numFmtId="171" fontId="1" fillId="0" borderId="0" xfId="2" applyNumberFormat="1"/>
    <xf numFmtId="0" fontId="12" fillId="0" borderId="11" xfId="2" applyFont="1" applyBorder="1"/>
    <xf numFmtId="10" fontId="1" fillId="0" borderId="9" xfId="2" applyNumberFormat="1" applyBorder="1"/>
    <xf numFmtId="0" fontId="12" fillId="0" borderId="10" xfId="2" applyFont="1" applyBorder="1"/>
    <xf numFmtId="165" fontId="3" fillId="2" borderId="0" xfId="1" applyNumberFormat="1" applyFont="1" applyFill="1"/>
    <xf numFmtId="164" fontId="3" fillId="2" borderId="0" xfId="3" applyFont="1" applyFill="1"/>
    <xf numFmtId="165" fontId="28" fillId="0" borderId="0" xfId="3" applyNumberFormat="1" applyFont="1"/>
    <xf numFmtId="0" fontId="0" fillId="8" borderId="14" xfId="0" applyFill="1" applyBorder="1"/>
    <xf numFmtId="0" fontId="29" fillId="8" borderId="15" xfId="0" applyFont="1" applyFill="1" applyBorder="1" applyAlignment="1">
      <alignment horizontal="center"/>
    </xf>
    <xf numFmtId="0" fontId="0" fillId="8" borderId="16" xfId="0" applyFill="1" applyBorder="1"/>
    <xf numFmtId="0" fontId="3" fillId="8" borderId="14" xfId="2" applyFont="1" applyFill="1" applyBorder="1" applyAlignment="1">
      <alignment horizontal="left"/>
    </xf>
    <xf numFmtId="0" fontId="3" fillId="8" borderId="15" xfId="2" applyFont="1" applyFill="1" applyBorder="1" applyAlignment="1">
      <alignment horizontal="left"/>
    </xf>
    <xf numFmtId="168" fontId="1" fillId="8" borderId="15" xfId="2" applyNumberFormat="1" applyFill="1" applyBorder="1"/>
    <xf numFmtId="0" fontId="1" fillId="8" borderId="16" xfId="2" applyFill="1" applyBorder="1"/>
    <xf numFmtId="0" fontId="3" fillId="8" borderId="17" xfId="0" applyFont="1" applyFill="1" applyBorder="1"/>
    <xf numFmtId="0" fontId="0" fillId="8" borderId="0" xfId="0" applyFill="1"/>
    <xf numFmtId="1" fontId="0" fillId="8" borderId="0" xfId="0" applyNumberFormat="1" applyFill="1"/>
    <xf numFmtId="168" fontId="0" fillId="8" borderId="0" xfId="0" applyNumberFormat="1" applyFill="1"/>
    <xf numFmtId="168" fontId="0" fillId="8" borderId="18" xfId="0" applyNumberFormat="1" applyFill="1" applyBorder="1"/>
    <xf numFmtId="0" fontId="1" fillId="8" borderId="17" xfId="2" applyFill="1" applyBorder="1" applyAlignment="1">
      <alignment horizontal="left"/>
    </xf>
    <xf numFmtId="0" fontId="1" fillId="8" borderId="0" xfId="2" applyFill="1" applyAlignment="1">
      <alignment horizontal="left"/>
    </xf>
    <xf numFmtId="168" fontId="3" fillId="8" borderId="0" xfId="2" applyNumberFormat="1" applyFont="1" applyFill="1"/>
    <xf numFmtId="9" fontId="30" fillId="8" borderId="18" xfId="4" applyFont="1" applyFill="1" applyBorder="1"/>
    <xf numFmtId="0" fontId="3" fillId="8" borderId="17" xfId="2" applyFont="1" applyFill="1" applyBorder="1" applyAlignment="1">
      <alignment horizontal="left"/>
    </xf>
    <xf numFmtId="0" fontId="3" fillId="8" borderId="0" xfId="2" applyFont="1" applyFill="1" applyAlignment="1">
      <alignment horizontal="left"/>
    </xf>
    <xf numFmtId="168" fontId="1" fillId="8" borderId="0" xfId="2" applyNumberFormat="1" applyFill="1"/>
    <xf numFmtId="0" fontId="3" fillId="8" borderId="18" xfId="2" applyFont="1" applyFill="1" applyBorder="1"/>
    <xf numFmtId="0" fontId="3" fillId="0" borderId="17" xfId="2" applyFont="1" applyBorder="1"/>
    <xf numFmtId="168" fontId="3" fillId="0" borderId="18" xfId="2" applyNumberFormat="1" applyFont="1" applyBorder="1"/>
    <xf numFmtId="168" fontId="1" fillId="0" borderId="18" xfId="2" applyNumberFormat="1" applyBorder="1"/>
    <xf numFmtId="168" fontId="3" fillId="8" borderId="1" xfId="2" applyNumberFormat="1" applyFont="1" applyFill="1" applyBorder="1"/>
    <xf numFmtId="171" fontId="1" fillId="8" borderId="0" xfId="2" applyNumberFormat="1" applyFill="1"/>
    <xf numFmtId="0" fontId="1" fillId="8" borderId="18" xfId="2" applyFill="1" applyBorder="1"/>
    <xf numFmtId="0" fontId="31" fillId="8" borderId="0" xfId="0" applyFont="1" applyFill="1"/>
    <xf numFmtId="168" fontId="31" fillId="8" borderId="0" xfId="0" applyNumberFormat="1" applyFont="1" applyFill="1"/>
    <xf numFmtId="168" fontId="31" fillId="8" borderId="18" xfId="0" applyNumberFormat="1" applyFont="1" applyFill="1" applyBorder="1"/>
    <xf numFmtId="0" fontId="3" fillId="8" borderId="19" xfId="2" applyFont="1" applyFill="1" applyBorder="1" applyAlignment="1">
      <alignment horizontal="left"/>
    </xf>
    <xf numFmtId="0" fontId="3" fillId="8" borderId="20" xfId="2" applyFont="1" applyFill="1" applyBorder="1" applyAlignment="1">
      <alignment horizontal="left"/>
    </xf>
    <xf numFmtId="168" fontId="3" fillId="8" borderId="20" xfId="2" applyNumberFormat="1" applyFont="1" applyFill="1" applyBorder="1"/>
    <xf numFmtId="0" fontId="1" fillId="8" borderId="21" xfId="2" applyFill="1" applyBorder="1"/>
    <xf numFmtId="165" fontId="3" fillId="0" borderId="0" xfId="3" applyNumberFormat="1" applyFont="1"/>
    <xf numFmtId="168" fontId="32" fillId="8" borderId="18" xfId="0" applyNumberFormat="1" applyFont="1" applyFill="1" applyBorder="1"/>
    <xf numFmtId="0" fontId="0" fillId="8" borderId="19" xfId="0" applyFill="1" applyBorder="1"/>
    <xf numFmtId="1" fontId="3" fillId="8" borderId="20" xfId="0" applyNumberFormat="1" applyFont="1" applyFill="1" applyBorder="1"/>
    <xf numFmtId="168" fontId="3" fillId="8" borderId="20" xfId="0" applyNumberFormat="1" applyFont="1" applyFill="1" applyBorder="1"/>
    <xf numFmtId="168" fontId="3" fillId="8" borderId="21" xfId="0" applyNumberFormat="1" applyFont="1" applyFill="1" applyBorder="1"/>
    <xf numFmtId="165" fontId="0" fillId="0" borderId="1" xfId="3" applyNumberFormat="1" applyFont="1" applyFill="1" applyBorder="1"/>
    <xf numFmtId="165" fontId="3" fillId="2" borderId="0" xfId="3" applyNumberFormat="1" applyFont="1" applyFill="1"/>
  </cellXfs>
  <cellStyles count="6">
    <cellStyle name="Millares" xfId="1" builtinId="3"/>
    <cellStyle name="Millares 2 3" xfId="3" xr:uid="{7D4A2548-4C24-4D49-A3C0-CCCD9DAB4C92}"/>
    <cellStyle name="Normal" xfId="0" builtinId="0"/>
    <cellStyle name="Normal 3 2" xfId="2" xr:uid="{D352491A-F831-4437-BDBF-637C11642A1F}"/>
    <cellStyle name="Normal 5" xfId="5" xr:uid="{F0E24557-1F65-4E66-A08B-C8D4D2C8BD19}"/>
    <cellStyle name="Porcentaje 2 2" xfId="4" xr:uid="{342FB228-D8A2-4613-B25D-0A063BA0B5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b05d7faf65529a7/Documentos/A%20ARCHIVOS%20EGC%2012%2011%202025/AGRILOR/1%20EEFF/2025/12%20MES%20DE%20DIC%202025/7.1%20Resumen%20Gasto%20x%20OP%20Dic.xlsx" TargetMode="External"/><Relationship Id="rId1" Type="http://schemas.openxmlformats.org/officeDocument/2006/relationships/externalLinkPath" Target="/5b05d7faf65529a7/Documentos/A%20ARCHIVOS%20EGC%2012%2011%202025/AGRILOR/1%20EEFF/2025/12%20MES%20DE%20DIC%202025/7.1%20Resumen%20Gasto%20x%20OP%20D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sto 481 HAS"/>
      <sheetName val="RESUMEN"/>
      <sheetName val="GASTOxOP-25"/>
      <sheetName val="GASTOxHa 25"/>
      <sheetName val="REPORTE "/>
      <sheetName val="Costo 481 HAS (2)"/>
      <sheetName val="GASTOxOP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0421-961D-4D3E-976E-8882BA58D673}">
  <sheetPr>
    <tabColor theme="4" tint="-0.249977111117893"/>
    <pageSetUpPr fitToPage="1"/>
  </sheetPr>
  <dimension ref="A1:CN265"/>
  <sheetViews>
    <sheetView tabSelected="1" zoomScale="70" zoomScaleNormal="70" workbookViewId="0">
      <pane xSplit="3" ySplit="11" topLeftCell="H76" activePane="bottomRight" state="frozen"/>
      <selection pane="topRight" activeCell="D1" sqref="D1"/>
      <selection pane="bottomLeft" activeCell="A11" sqref="A11"/>
      <selection pane="bottomRight" activeCell="M230" activeCellId="3" sqref="M215 M219 M226 M230"/>
    </sheetView>
  </sheetViews>
  <sheetFormatPr baseColWidth="10" defaultColWidth="10.86328125" defaultRowHeight="14.25" outlineLevelRow="1" x14ac:dyDescent="0.45"/>
  <cols>
    <col min="1" max="1" width="5.86328125" style="24" customWidth="1"/>
    <col min="2" max="2" width="31.3984375" style="2" customWidth="1"/>
    <col min="3" max="3" width="11.86328125" style="2" customWidth="1"/>
    <col min="4" max="4" width="9.86328125" style="2" customWidth="1"/>
    <col min="5" max="5" width="7.73046875" style="2" customWidth="1"/>
    <col min="6" max="6" width="15.86328125" style="5" customWidth="1"/>
    <col min="7" max="7" width="10.73046875" style="2" customWidth="1"/>
    <col min="8" max="8" width="7.73046875" style="2" customWidth="1"/>
    <col min="9" max="9" width="14.3984375" style="5" customWidth="1"/>
    <col min="10" max="10" width="8.59765625" style="5" customWidth="1"/>
    <col min="11" max="11" width="7.73046875" style="5" customWidth="1"/>
    <col min="12" max="12" width="14.1328125" style="5" customWidth="1"/>
    <col min="13" max="13" width="15.1328125" style="2" customWidth="1"/>
    <col min="14" max="14" width="1.1328125" style="2" customWidth="1"/>
    <col min="15" max="15" width="16.1328125" style="6" customWidth="1"/>
    <col min="16" max="16" width="1.1328125" style="6" customWidth="1"/>
    <col min="17" max="17" width="13.73046875" style="6" customWidth="1"/>
    <col min="18" max="18" width="16.86328125" style="6" customWidth="1"/>
    <col min="19" max="19" width="13.59765625" style="6" bestFit="1" customWidth="1"/>
    <col min="20" max="20" width="2.86328125" style="6" customWidth="1"/>
    <col min="21" max="23" width="10.86328125" style="2" customWidth="1"/>
    <col min="24" max="24" width="13.1328125" style="2" customWidth="1"/>
    <col min="25" max="27" width="10.86328125" style="2" customWidth="1"/>
    <col min="28" max="30" width="10.86328125" style="2"/>
    <col min="31" max="31" width="17.73046875" style="2" customWidth="1"/>
    <col min="32" max="16384" width="10.86328125" style="2"/>
  </cols>
  <sheetData>
    <row r="1" spans="1:23" ht="20.25" x14ac:dyDescent="0.55000000000000004">
      <c r="A1" s="1" t="s">
        <v>0</v>
      </c>
      <c r="E1" s="3" t="s">
        <v>1</v>
      </c>
      <c r="F1" s="4">
        <v>3.7</v>
      </c>
      <c r="M1" s="5" t="s">
        <v>2</v>
      </c>
      <c r="O1" s="6">
        <f>+J8</f>
        <v>51</v>
      </c>
    </row>
    <row r="2" spans="1:23" ht="14.65" thickBot="1" x14ac:dyDescent="0.5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M2" s="5" t="s">
        <v>4</v>
      </c>
      <c r="O2" s="8">
        <f>+D8+G8</f>
        <v>430</v>
      </c>
    </row>
    <row r="3" spans="1:23" ht="14.65" thickTop="1" x14ac:dyDescent="0.45">
      <c r="A3" s="7" t="s">
        <v>5</v>
      </c>
      <c r="B3" s="7"/>
      <c r="C3" s="7"/>
      <c r="D3" s="7"/>
      <c r="E3" s="7"/>
      <c r="F3" s="7"/>
      <c r="G3" s="7"/>
      <c r="H3"/>
      <c r="I3" s="9"/>
      <c r="J3" s="10"/>
      <c r="M3" s="5"/>
      <c r="O3" s="6">
        <f>+O1+O2</f>
        <v>481</v>
      </c>
    </row>
    <row r="4" spans="1:23" x14ac:dyDescent="0.45">
      <c r="A4" s="11"/>
      <c r="B4" s="11"/>
      <c r="C4" s="11"/>
      <c r="D4" s="11"/>
      <c r="E4" s="11"/>
      <c r="F4" s="11"/>
      <c r="G4" s="12"/>
      <c r="H4"/>
      <c r="I4" s="13"/>
      <c r="J4" s="14"/>
      <c r="M4" s="5"/>
    </row>
    <row r="5" spans="1:23" x14ac:dyDescent="0.45">
      <c r="A5" s="11"/>
      <c r="B5" s="11"/>
      <c r="C5"/>
      <c r="D5"/>
      <c r="E5" s="15"/>
      <c r="F5" s="16"/>
      <c r="G5" s="17"/>
      <c r="H5"/>
      <c r="I5" s="14"/>
      <c r="J5" s="14"/>
      <c r="M5" s="5"/>
      <c r="O5" s="18" t="s">
        <v>6</v>
      </c>
      <c r="P5" s="18"/>
      <c r="Q5" s="18" t="s">
        <v>7</v>
      </c>
    </row>
    <row r="6" spans="1:23" ht="14.65" thickBot="1" x14ac:dyDescent="0.5">
      <c r="A6" s="11"/>
      <c r="B6" s="11"/>
      <c r="C6"/>
      <c r="D6"/>
      <c r="E6" s="15"/>
      <c r="F6" s="16"/>
      <c r="G6" s="17"/>
      <c r="H6"/>
      <c r="I6" s="14"/>
      <c r="J6" s="14"/>
      <c r="M6" s="5"/>
      <c r="O6" s="18"/>
      <c r="P6" s="18"/>
      <c r="Q6" s="18"/>
    </row>
    <row r="7" spans="1:23" ht="14.65" thickBot="1" x14ac:dyDescent="0.5">
      <c r="A7" s="19"/>
      <c r="B7" s="20"/>
      <c r="C7" s="20"/>
      <c r="D7" s="21" t="s">
        <v>8</v>
      </c>
      <c r="E7" s="22"/>
      <c r="F7" s="23"/>
      <c r="G7" s="21" t="s">
        <v>9</v>
      </c>
      <c r="H7" s="22"/>
      <c r="I7" s="23"/>
      <c r="J7" s="21" t="s">
        <v>10</v>
      </c>
      <c r="K7" s="22"/>
      <c r="L7" s="23"/>
      <c r="O7" s="18">
        <f>(F10+I10)/O2</f>
        <v>1556.8501380956288</v>
      </c>
      <c r="Q7" s="18">
        <f>L10/O1</f>
        <v>2207.2910301605953</v>
      </c>
      <c r="R7" s="6">
        <f>+O2</f>
        <v>430</v>
      </c>
      <c r="S7" s="6">
        <f>+O1</f>
        <v>51</v>
      </c>
    </row>
    <row r="8" spans="1:23" ht="14.65" thickBot="1" x14ac:dyDescent="0.5">
      <c r="D8" s="25">
        <v>220.75</v>
      </c>
      <c r="E8" s="26"/>
      <c r="F8" s="27" t="s">
        <v>11</v>
      </c>
      <c r="G8" s="28">
        <v>209.25</v>
      </c>
      <c r="H8" s="29"/>
      <c r="I8" s="27" t="s">
        <v>11</v>
      </c>
      <c r="J8" s="25">
        <v>51</v>
      </c>
      <c r="K8" s="26"/>
      <c r="L8" s="27" t="s">
        <v>11</v>
      </c>
      <c r="M8" s="30">
        <f>+D8+G8+J8</f>
        <v>481</v>
      </c>
      <c r="O8" s="31" t="s">
        <v>12</v>
      </c>
      <c r="P8" s="31"/>
      <c r="Q8" s="31" t="s">
        <v>13</v>
      </c>
      <c r="R8" s="31" t="s">
        <v>12</v>
      </c>
      <c r="S8" s="31" t="s">
        <v>13</v>
      </c>
      <c r="T8" s="31"/>
    </row>
    <row r="9" spans="1:23" ht="16.5" customHeight="1" thickBot="1" x14ac:dyDescent="0.5">
      <c r="D9" s="2" t="s">
        <v>14</v>
      </c>
      <c r="E9" s="2" t="s">
        <v>15</v>
      </c>
      <c r="G9" s="2" t="s">
        <v>14</v>
      </c>
      <c r="H9" s="2" t="s">
        <v>15</v>
      </c>
      <c r="J9" s="2" t="s">
        <v>14</v>
      </c>
      <c r="K9" s="2" t="s">
        <v>15</v>
      </c>
      <c r="M9" s="32" t="s">
        <v>16</v>
      </c>
      <c r="O9" s="33" t="s">
        <v>17</v>
      </c>
      <c r="Q9" s="33" t="s">
        <v>17</v>
      </c>
    </row>
    <row r="10" spans="1:23" ht="14.65" thickBot="1" x14ac:dyDescent="0.5">
      <c r="A10" s="34" t="s">
        <v>18</v>
      </c>
      <c r="B10" s="35" t="s">
        <v>19</v>
      </c>
      <c r="C10" s="35"/>
      <c r="D10" s="36"/>
      <c r="E10" s="37"/>
      <c r="F10" s="38">
        <f>+F14+F16+F34+F49+F51+F53+F12</f>
        <v>343674.66798461002</v>
      </c>
      <c r="G10" s="36"/>
      <c r="H10" s="37"/>
      <c r="I10" s="38">
        <f>+I14+I16+I34+I49+I51+I53+I12</f>
        <v>325770.8913965103</v>
      </c>
      <c r="J10" s="36"/>
      <c r="K10" s="38"/>
      <c r="L10" s="38">
        <f>+L14+L16+L34+L49+L51+L53+L12</f>
        <v>112571.84253819037</v>
      </c>
      <c r="M10" s="38">
        <f>+I10+F10+L10</f>
        <v>782017.40191931068</v>
      </c>
      <c r="N10" s="39"/>
      <c r="O10" s="40">
        <f>O12+O14+O16+O34+O49+O51+O53+O59+O62</f>
        <v>1532.6431632504812</v>
      </c>
      <c r="P10" s="40"/>
      <c r="Q10" s="40">
        <f>Q12+Q14+Q16+Q34+Q49+Q51+Q53+Q59+Q62</f>
        <v>2173.0204412223575</v>
      </c>
      <c r="R10" s="40">
        <f>R12+R14+R16+R34+R49+R51+R53+R59+R62</f>
        <v>659036.56019770703</v>
      </c>
      <c r="S10" s="40">
        <f>S12+S14+S16+S34+S49+S51+S53+S59+S62</f>
        <v>110824.04250234022</v>
      </c>
      <c r="U10" s="41">
        <f>+F10+I10-R10</f>
        <v>10408.99918341334</v>
      </c>
      <c r="V10" s="42">
        <f>+L10-S10</f>
        <v>1747.8000358501449</v>
      </c>
    </row>
    <row r="11" spans="1:23" ht="3.75" customHeight="1" x14ac:dyDescent="0.45">
      <c r="A11" s="43"/>
      <c r="B11" s="44"/>
      <c r="C11" s="45"/>
      <c r="M11" s="5"/>
      <c r="U11" s="41">
        <f t="shared" ref="U11" si="0">+F11+I11-R11</f>
        <v>0</v>
      </c>
      <c r="V11" s="42">
        <f t="shared" ref="V11" si="1">+L11-S11</f>
        <v>0</v>
      </c>
    </row>
    <row r="12" spans="1:23" x14ac:dyDescent="0.45">
      <c r="A12" s="46" t="s">
        <v>20</v>
      </c>
      <c r="B12" s="47" t="s">
        <v>21</v>
      </c>
      <c r="C12" s="48"/>
      <c r="D12" s="49"/>
      <c r="E12" s="50"/>
      <c r="F12" s="51">
        <v>241907.68107558144</v>
      </c>
      <c r="G12" s="49"/>
      <c r="H12" s="50"/>
      <c r="I12" s="51">
        <v>229305.46892441864</v>
      </c>
      <c r="J12" s="49"/>
      <c r="K12" s="50"/>
      <c r="L12" s="51">
        <v>74800</v>
      </c>
      <c r="M12" s="51">
        <v>546013.15000000014</v>
      </c>
      <c r="N12" s="52"/>
      <c r="O12" s="53">
        <f>(F12+I12)/O2</f>
        <v>1095.8445348837211</v>
      </c>
      <c r="P12" s="53"/>
      <c r="Q12" s="53">
        <f>L12/O1</f>
        <v>1466.6666666666667</v>
      </c>
      <c r="R12" s="53">
        <f>O12*O2</f>
        <v>471213.15000000008</v>
      </c>
      <c r="S12" s="53">
        <f>Q12*O1</f>
        <v>74800</v>
      </c>
      <c r="U12" s="41"/>
      <c r="V12" s="42"/>
    </row>
    <row r="13" spans="1:23" ht="8.25" customHeight="1" x14ac:dyDescent="0.45">
      <c r="A13" s="43"/>
      <c r="B13" s="44"/>
      <c r="C13" s="45"/>
      <c r="M13" s="5"/>
      <c r="U13" s="41"/>
      <c r="V13" s="42"/>
    </row>
    <row r="14" spans="1:23" x14ac:dyDescent="0.45">
      <c r="A14" s="46" t="s">
        <v>22</v>
      </c>
      <c r="B14" s="47" t="s">
        <v>23</v>
      </c>
      <c r="C14" s="54"/>
      <c r="D14" s="55">
        <v>15.996376811594201</v>
      </c>
      <c r="E14" s="50">
        <v>1040.5405405405404</v>
      </c>
      <c r="F14" s="56">
        <v>16644.878574226397</v>
      </c>
      <c r="G14" s="57">
        <v>15.163043478260869</v>
      </c>
      <c r="H14" s="50">
        <v>1040.5405405405404</v>
      </c>
      <c r="I14" s="51">
        <v>15777.76145710928</v>
      </c>
      <c r="J14" s="57">
        <v>3.6956521739130435</v>
      </c>
      <c r="K14" s="50">
        <v>1040.5405405405404</v>
      </c>
      <c r="L14" s="58">
        <v>3845.4759106933016</v>
      </c>
      <c r="M14" s="51">
        <v>36268.115942028977</v>
      </c>
      <c r="N14" s="59"/>
      <c r="O14" s="53">
        <f>(F14+I14)/O2/1.18</f>
        <v>63.899566478785346</v>
      </c>
      <c r="P14" s="53"/>
      <c r="Q14" s="53">
        <f>L14/O1/1.18</f>
        <v>63.899566478785346</v>
      </c>
      <c r="R14" s="53">
        <f>O14*O2</f>
        <v>27476.813585877699</v>
      </c>
      <c r="S14" s="53">
        <f>Q14*O1</f>
        <v>3258.8778904180526</v>
      </c>
      <c r="U14" s="41"/>
      <c r="V14" s="42"/>
      <c r="W14" s="60"/>
    </row>
    <row r="15" spans="1:23" ht="3.75" customHeight="1" x14ac:dyDescent="0.45">
      <c r="A15" s="43"/>
      <c r="B15" s="44"/>
      <c r="C15" s="61"/>
      <c r="F15" s="62"/>
      <c r="I15" s="62"/>
      <c r="J15" s="41"/>
      <c r="K15" s="41"/>
      <c r="L15" s="62"/>
      <c r="M15" s="5"/>
      <c r="U15" s="41"/>
      <c r="V15" s="42"/>
    </row>
    <row r="16" spans="1:23" x14ac:dyDescent="0.45">
      <c r="A16" s="46" t="s">
        <v>24</v>
      </c>
      <c r="B16" s="47" t="s">
        <v>25</v>
      </c>
      <c r="C16" s="63">
        <v>79.5</v>
      </c>
      <c r="D16" s="49">
        <v>1271.7119565217392</v>
      </c>
      <c r="E16" s="64"/>
      <c r="F16" s="51">
        <v>27496.474735605163</v>
      </c>
      <c r="G16" s="49">
        <v>1205.4619565217388</v>
      </c>
      <c r="H16" s="64"/>
      <c r="I16" s="51">
        <v>26064.042303172737</v>
      </c>
      <c r="J16" s="49">
        <v>382.50000000000006</v>
      </c>
      <c r="K16" s="64"/>
      <c r="L16" s="51">
        <v>8270.2702702702718</v>
      </c>
      <c r="M16" s="51">
        <v>61830.787309048173</v>
      </c>
      <c r="N16" s="52"/>
      <c r="O16" s="53">
        <f>(F16+I16)/O2</f>
        <v>124.55934195064629</v>
      </c>
      <c r="P16" s="53"/>
      <c r="Q16" s="53">
        <f>L16/O1</f>
        <v>162.16216216216219</v>
      </c>
      <c r="R16" s="53">
        <f>O16*O2</f>
        <v>53560.5170387779</v>
      </c>
      <c r="S16" s="53">
        <f>Q16*O1</f>
        <v>8270.2702702702718</v>
      </c>
      <c r="U16" s="41"/>
      <c r="V16" s="42"/>
    </row>
    <row r="17" spans="1:22" hidden="1" outlineLevel="1" x14ac:dyDescent="0.45">
      <c r="A17" s="65"/>
      <c r="B17" s="66" t="s">
        <v>26</v>
      </c>
      <c r="C17" s="67">
        <v>1</v>
      </c>
      <c r="D17" s="57">
        <v>15.996376811594201</v>
      </c>
      <c r="E17" s="68">
        <v>80</v>
      </c>
      <c r="F17" s="69">
        <v>345.86760673717185</v>
      </c>
      <c r="G17" s="57">
        <v>15.163043478260869</v>
      </c>
      <c r="H17" s="68">
        <v>80</v>
      </c>
      <c r="I17" s="69">
        <v>327.84958871915393</v>
      </c>
      <c r="J17" s="57">
        <v>11.086956521739131</v>
      </c>
      <c r="K17" s="68">
        <v>80</v>
      </c>
      <c r="L17" s="69">
        <v>239.71797884841362</v>
      </c>
      <c r="M17" s="50">
        <v>913.43517430473935</v>
      </c>
      <c r="O17" s="70">
        <f>(F17+I17)/$O$2</f>
        <v>1.5667841754798273</v>
      </c>
      <c r="Q17" s="70">
        <f>L17/$O$1</f>
        <v>4.7003525264394828</v>
      </c>
      <c r="R17" s="6">
        <f>O17*$O$2</f>
        <v>673.71719545632573</v>
      </c>
      <c r="S17" s="6">
        <f>Q17*$O$1</f>
        <v>239.71797884841362</v>
      </c>
      <c r="U17" s="41"/>
      <c r="V17" s="42"/>
    </row>
    <row r="18" spans="1:22" hidden="1" outlineLevel="1" x14ac:dyDescent="0.45">
      <c r="A18" s="65"/>
      <c r="B18" s="66" t="s">
        <v>27</v>
      </c>
      <c r="C18" s="67">
        <v>2</v>
      </c>
      <c r="D18" s="57">
        <v>31.992753623188403</v>
      </c>
      <c r="E18" s="68">
        <v>80</v>
      </c>
      <c r="F18" s="69">
        <v>691.73521347434371</v>
      </c>
      <c r="G18" s="57">
        <v>30.326086956521738</v>
      </c>
      <c r="H18" s="68">
        <v>80</v>
      </c>
      <c r="I18" s="69">
        <v>655.69917743830786</v>
      </c>
      <c r="J18" s="57">
        <v>7.3913043478260869</v>
      </c>
      <c r="K18" s="68">
        <v>80</v>
      </c>
      <c r="L18" s="69">
        <v>159.81198589894242</v>
      </c>
      <c r="M18" s="50">
        <v>1507.2463768115938</v>
      </c>
      <c r="O18" s="70">
        <f t="shared" ref="O18:O32" si="2">(F18+I18)/$O$2</f>
        <v>3.1335683509596546</v>
      </c>
      <c r="Q18" s="70">
        <f t="shared" ref="Q18:Q32" si="3">L18/$O$1</f>
        <v>3.1335683509596555</v>
      </c>
      <c r="R18" s="6">
        <f t="shared" ref="R18:R32" si="4">O18*$O$2</f>
        <v>1347.4343909126515</v>
      </c>
      <c r="S18" s="6">
        <f t="shared" ref="S18:S32" si="5">Q18*$O$1</f>
        <v>159.81198589894242</v>
      </c>
      <c r="U18" s="41"/>
      <c r="V18" s="42"/>
    </row>
    <row r="19" spans="1:22" hidden="1" outlineLevel="1" x14ac:dyDescent="0.45">
      <c r="A19" s="65"/>
      <c r="B19" s="66" t="s">
        <v>28</v>
      </c>
      <c r="C19" s="67">
        <v>4</v>
      </c>
      <c r="D19" s="57">
        <v>63.985507246376805</v>
      </c>
      <c r="E19" s="68">
        <v>80</v>
      </c>
      <c r="F19" s="69">
        <v>1383.4704269486874</v>
      </c>
      <c r="G19" s="57">
        <v>60.652173913043477</v>
      </c>
      <c r="H19" s="68">
        <v>80</v>
      </c>
      <c r="I19" s="69">
        <v>1311.3983548766157</v>
      </c>
      <c r="J19" s="57">
        <v>14.782608695652174</v>
      </c>
      <c r="K19" s="68">
        <v>80</v>
      </c>
      <c r="L19" s="69">
        <v>319.62397179788485</v>
      </c>
      <c r="M19" s="50">
        <v>3014.4927536231876</v>
      </c>
      <c r="O19" s="70">
        <f t="shared" si="2"/>
        <v>6.2671367019193092</v>
      </c>
      <c r="Q19" s="70">
        <f t="shared" si="3"/>
        <v>6.2671367019193109</v>
      </c>
      <c r="R19" s="6">
        <f t="shared" si="4"/>
        <v>2694.8687818253029</v>
      </c>
      <c r="S19" s="6">
        <f t="shared" si="5"/>
        <v>319.62397179788485</v>
      </c>
      <c r="U19" s="41"/>
      <c r="V19" s="42"/>
    </row>
    <row r="20" spans="1:22" hidden="1" outlineLevel="1" x14ac:dyDescent="0.45">
      <c r="A20" s="65"/>
      <c r="B20" s="66" t="s">
        <v>29</v>
      </c>
      <c r="C20" s="67">
        <v>1</v>
      </c>
      <c r="D20" s="57">
        <v>15.996376811594201</v>
      </c>
      <c r="E20" s="68">
        <v>80</v>
      </c>
      <c r="F20" s="69">
        <v>345.86760673717185</v>
      </c>
      <c r="G20" s="57">
        <v>15.163043478260869</v>
      </c>
      <c r="H20" s="68">
        <v>80</v>
      </c>
      <c r="I20" s="69">
        <v>327.84958871915393</v>
      </c>
      <c r="J20" s="57">
        <v>3.6956521739130435</v>
      </c>
      <c r="K20" s="68">
        <v>80</v>
      </c>
      <c r="L20" s="69">
        <v>79.905992949471212</v>
      </c>
      <c r="M20" s="50">
        <v>753.6231884057969</v>
      </c>
      <c r="O20" s="70">
        <f t="shared" si="2"/>
        <v>1.5667841754798273</v>
      </c>
      <c r="Q20" s="70">
        <f t="shared" si="3"/>
        <v>1.5667841754798277</v>
      </c>
      <c r="R20" s="6">
        <f t="shared" si="4"/>
        <v>673.71719545632573</v>
      </c>
      <c r="S20" s="6">
        <f t="shared" si="5"/>
        <v>79.905992949471212</v>
      </c>
      <c r="U20" s="41"/>
      <c r="V20" s="42"/>
    </row>
    <row r="21" spans="1:22" hidden="1" outlineLevel="1" x14ac:dyDescent="0.45">
      <c r="A21" s="65"/>
      <c r="B21" s="66" t="s">
        <v>30</v>
      </c>
      <c r="C21" s="67">
        <v>0</v>
      </c>
      <c r="D21" s="57">
        <v>0</v>
      </c>
      <c r="E21" s="68">
        <v>80</v>
      </c>
      <c r="F21" s="69">
        <v>0</v>
      </c>
      <c r="G21" s="57">
        <v>0</v>
      </c>
      <c r="H21" s="68">
        <v>80</v>
      </c>
      <c r="I21" s="69">
        <v>0</v>
      </c>
      <c r="J21" s="57">
        <v>0</v>
      </c>
      <c r="K21" s="68">
        <v>80</v>
      </c>
      <c r="L21" s="69">
        <v>0</v>
      </c>
      <c r="M21" s="50">
        <v>0</v>
      </c>
      <c r="O21" s="70">
        <f t="shared" si="2"/>
        <v>0</v>
      </c>
      <c r="Q21" s="70">
        <f t="shared" si="3"/>
        <v>0</v>
      </c>
      <c r="R21" s="6">
        <f t="shared" si="4"/>
        <v>0</v>
      </c>
      <c r="S21" s="6">
        <f t="shared" si="5"/>
        <v>0</v>
      </c>
      <c r="U21" s="41"/>
      <c r="V21" s="42"/>
    </row>
    <row r="22" spans="1:22" hidden="1" outlineLevel="1" x14ac:dyDescent="0.45">
      <c r="A22" s="65"/>
      <c r="B22" s="66" t="s">
        <v>31</v>
      </c>
      <c r="C22" s="67">
        <v>3.5</v>
      </c>
      <c r="D22" s="57">
        <v>55.987318840579704</v>
      </c>
      <c r="E22" s="68">
        <v>80</v>
      </c>
      <c r="F22" s="69">
        <v>1210.5366235801016</v>
      </c>
      <c r="G22" s="57">
        <v>53.070652173913039</v>
      </c>
      <c r="H22" s="68">
        <v>80</v>
      </c>
      <c r="I22" s="69">
        <v>1147.4735605170385</v>
      </c>
      <c r="J22" s="57">
        <v>12.934782608695652</v>
      </c>
      <c r="K22" s="68">
        <v>80</v>
      </c>
      <c r="L22" s="69">
        <v>279.67097532314926</v>
      </c>
      <c r="M22" s="50">
        <v>2637.6811594202895</v>
      </c>
      <c r="O22" s="70">
        <f t="shared" si="2"/>
        <v>5.483744614179396</v>
      </c>
      <c r="Q22" s="70">
        <f t="shared" si="3"/>
        <v>5.4837446141793977</v>
      </c>
      <c r="R22" s="6">
        <f t="shared" si="4"/>
        <v>2358.0101840971402</v>
      </c>
      <c r="S22" s="6">
        <f t="shared" si="5"/>
        <v>279.67097532314926</v>
      </c>
      <c r="U22" s="41"/>
      <c r="V22" s="42"/>
    </row>
    <row r="23" spans="1:22" hidden="1" outlineLevel="1" x14ac:dyDescent="0.45">
      <c r="A23" s="65"/>
      <c r="B23" s="66" t="s">
        <v>32</v>
      </c>
      <c r="C23" s="67">
        <v>12</v>
      </c>
      <c r="D23" s="57">
        <v>191.95652173913041</v>
      </c>
      <c r="E23" s="68">
        <v>80</v>
      </c>
      <c r="F23" s="69">
        <v>4150.4112808460623</v>
      </c>
      <c r="G23" s="57">
        <v>181.95652173913044</v>
      </c>
      <c r="H23" s="68">
        <v>80</v>
      </c>
      <c r="I23" s="69">
        <v>3934.1950646298474</v>
      </c>
      <c r="J23" s="57">
        <v>44.347826086956523</v>
      </c>
      <c r="K23" s="68">
        <v>80</v>
      </c>
      <c r="L23" s="69">
        <v>958.87191539365449</v>
      </c>
      <c r="M23" s="50">
        <v>9043.4782608695641</v>
      </c>
      <c r="O23" s="70">
        <f t="shared" si="2"/>
        <v>18.801410105757931</v>
      </c>
      <c r="Q23" s="70">
        <f t="shared" si="3"/>
        <v>18.801410105757931</v>
      </c>
      <c r="R23" s="6">
        <f t="shared" si="4"/>
        <v>8084.6063454759105</v>
      </c>
      <c r="S23" s="6">
        <f t="shared" si="5"/>
        <v>958.87191539365449</v>
      </c>
      <c r="U23" s="41"/>
      <c r="V23" s="42"/>
    </row>
    <row r="24" spans="1:22" hidden="1" outlineLevel="1" x14ac:dyDescent="0.45">
      <c r="A24" s="65"/>
      <c r="B24" s="66" t="s">
        <v>33</v>
      </c>
      <c r="C24" s="67">
        <v>3</v>
      </c>
      <c r="D24" s="57">
        <v>47.989130434782602</v>
      </c>
      <c r="E24" s="68">
        <v>80</v>
      </c>
      <c r="F24" s="69">
        <v>1037.6028202115156</v>
      </c>
      <c r="G24" s="57">
        <v>45.489130434782609</v>
      </c>
      <c r="H24" s="68">
        <v>80</v>
      </c>
      <c r="I24" s="69">
        <v>983.54876615746184</v>
      </c>
      <c r="J24" s="57">
        <v>11.086956521739131</v>
      </c>
      <c r="K24" s="68">
        <v>80</v>
      </c>
      <c r="L24" s="69">
        <v>239.71797884841362</v>
      </c>
      <c r="M24" s="50">
        <v>2260.869565217391</v>
      </c>
      <c r="O24" s="70">
        <f t="shared" si="2"/>
        <v>4.7003525264394828</v>
      </c>
      <c r="Q24" s="70">
        <f t="shared" si="3"/>
        <v>4.7003525264394828</v>
      </c>
      <c r="R24" s="6">
        <f t="shared" si="4"/>
        <v>2021.1515863689776</v>
      </c>
      <c r="S24" s="6">
        <f t="shared" si="5"/>
        <v>239.71797884841362</v>
      </c>
      <c r="U24" s="41"/>
      <c r="V24" s="42"/>
    </row>
    <row r="25" spans="1:22" hidden="1" outlineLevel="1" x14ac:dyDescent="0.45">
      <c r="A25" s="65"/>
      <c r="B25" s="66" t="s">
        <v>34</v>
      </c>
      <c r="C25" s="67">
        <v>4</v>
      </c>
      <c r="D25" s="57">
        <v>63.985507246376805</v>
      </c>
      <c r="E25" s="68">
        <v>80</v>
      </c>
      <c r="F25" s="69">
        <v>1383.4704269486874</v>
      </c>
      <c r="G25" s="57">
        <v>60.652173913043477</v>
      </c>
      <c r="H25" s="68">
        <v>80</v>
      </c>
      <c r="I25" s="69">
        <v>1311.3983548766157</v>
      </c>
      <c r="J25" s="57">
        <v>14.782608695652174</v>
      </c>
      <c r="K25" s="68">
        <v>80</v>
      </c>
      <c r="L25" s="69">
        <v>319.62397179788485</v>
      </c>
      <c r="M25" s="50">
        <v>3014.4927536231876</v>
      </c>
      <c r="O25" s="70"/>
      <c r="Q25" s="70"/>
      <c r="U25" s="41"/>
      <c r="V25" s="42"/>
    </row>
    <row r="26" spans="1:22" hidden="1" outlineLevel="1" x14ac:dyDescent="0.45">
      <c r="A26" s="65"/>
      <c r="B26" s="66" t="s">
        <v>35</v>
      </c>
      <c r="C26" s="67">
        <v>11</v>
      </c>
      <c r="D26" s="57">
        <v>175.96014492753622</v>
      </c>
      <c r="E26" s="68">
        <v>80</v>
      </c>
      <c r="F26" s="69">
        <v>3804.5436741088911</v>
      </c>
      <c r="G26" s="57">
        <v>166.79347826086956</v>
      </c>
      <c r="H26" s="68">
        <v>80</v>
      </c>
      <c r="I26" s="69">
        <v>3606.345475910693</v>
      </c>
      <c r="J26" s="57">
        <v>121.95652173913044</v>
      </c>
      <c r="K26" s="68">
        <v>80</v>
      </c>
      <c r="L26" s="69">
        <v>2636.8977673325503</v>
      </c>
      <c r="M26" s="50">
        <v>10047.786917352134</v>
      </c>
      <c r="O26" s="70"/>
      <c r="Q26" s="70"/>
      <c r="U26" s="41"/>
      <c r="V26" s="42"/>
    </row>
    <row r="27" spans="1:22" hidden="1" outlineLevel="1" x14ac:dyDescent="0.45">
      <c r="A27" s="65"/>
      <c r="B27" s="66" t="s">
        <v>36</v>
      </c>
      <c r="C27" s="67">
        <v>22</v>
      </c>
      <c r="D27" s="57">
        <v>351.92028985507244</v>
      </c>
      <c r="E27" s="68">
        <v>80</v>
      </c>
      <c r="F27" s="69">
        <v>7609.0873482177822</v>
      </c>
      <c r="G27" s="57">
        <v>333.58695652173913</v>
      </c>
      <c r="H27" s="68">
        <v>80</v>
      </c>
      <c r="I27" s="69">
        <v>7212.6909518213861</v>
      </c>
      <c r="J27" s="57">
        <v>81.304347826086953</v>
      </c>
      <c r="K27" s="68">
        <v>80</v>
      </c>
      <c r="L27" s="69">
        <v>1757.9318448883664</v>
      </c>
      <c r="M27" s="50">
        <v>16579.710144927536</v>
      </c>
      <c r="O27" s="70"/>
      <c r="Q27" s="70"/>
      <c r="U27" s="41"/>
      <c r="V27" s="42"/>
    </row>
    <row r="28" spans="1:22" hidden="1" outlineLevel="1" x14ac:dyDescent="0.45">
      <c r="A28" s="65"/>
      <c r="B28" s="66" t="s">
        <v>37</v>
      </c>
      <c r="C28" s="67">
        <v>7</v>
      </c>
      <c r="D28" s="57">
        <v>111.97463768115941</v>
      </c>
      <c r="E28" s="68">
        <v>80</v>
      </c>
      <c r="F28" s="69">
        <v>2421.0732471602032</v>
      </c>
      <c r="G28" s="57">
        <v>106.14130434782608</v>
      </c>
      <c r="H28" s="68">
        <v>80</v>
      </c>
      <c r="I28" s="69">
        <v>2294.9471210340771</v>
      </c>
      <c r="J28" s="57">
        <v>25.869565217391305</v>
      </c>
      <c r="K28" s="68">
        <v>80</v>
      </c>
      <c r="L28" s="69">
        <v>559.34195064629853</v>
      </c>
      <c r="M28" s="50">
        <v>5275.3623188405791</v>
      </c>
      <c r="O28" s="70">
        <f t="shared" si="2"/>
        <v>10.967489228358792</v>
      </c>
      <c r="Q28" s="70">
        <f t="shared" si="3"/>
        <v>10.967489228358795</v>
      </c>
      <c r="R28" s="6">
        <f t="shared" si="4"/>
        <v>4716.0203681942803</v>
      </c>
      <c r="S28" s="6">
        <f t="shared" si="5"/>
        <v>559.34195064629853</v>
      </c>
      <c r="U28" s="41"/>
      <c r="V28" s="42"/>
    </row>
    <row r="29" spans="1:22" hidden="1" outlineLevel="1" x14ac:dyDescent="0.45">
      <c r="A29" s="65"/>
      <c r="B29" s="66" t="s">
        <v>38</v>
      </c>
      <c r="C29" s="67">
        <v>1</v>
      </c>
      <c r="D29" s="57">
        <v>15.996376811594201</v>
      </c>
      <c r="E29" s="68">
        <v>80</v>
      </c>
      <c r="F29" s="69">
        <v>345.86760673717185</v>
      </c>
      <c r="G29" s="57">
        <v>15.163043478260869</v>
      </c>
      <c r="H29" s="68">
        <v>80</v>
      </c>
      <c r="I29" s="69">
        <v>327.84958871915393</v>
      </c>
      <c r="J29" s="71">
        <v>3.6956521739130435</v>
      </c>
      <c r="K29" s="68">
        <v>80</v>
      </c>
      <c r="L29" s="69">
        <v>79.905992949471212</v>
      </c>
      <c r="M29" s="50">
        <v>753.6231884057969</v>
      </c>
      <c r="O29" s="70">
        <f t="shared" si="2"/>
        <v>1.5667841754798273</v>
      </c>
      <c r="Q29" s="70">
        <f t="shared" si="3"/>
        <v>1.5667841754798277</v>
      </c>
      <c r="R29" s="6">
        <f t="shared" si="4"/>
        <v>673.71719545632573</v>
      </c>
      <c r="S29" s="6">
        <f t="shared" si="5"/>
        <v>79.905992949471212</v>
      </c>
      <c r="U29" s="41"/>
      <c r="V29" s="42"/>
    </row>
    <row r="30" spans="1:22" hidden="1" outlineLevel="1" x14ac:dyDescent="0.45">
      <c r="A30" s="65"/>
      <c r="B30" s="66" t="s">
        <v>39</v>
      </c>
      <c r="C30" s="67">
        <v>7</v>
      </c>
      <c r="D30" s="57">
        <v>111.97463768115941</v>
      </c>
      <c r="E30" s="68">
        <v>80</v>
      </c>
      <c r="F30" s="69">
        <v>2421.0732471602032</v>
      </c>
      <c r="G30" s="57">
        <v>106.14130434782608</v>
      </c>
      <c r="H30" s="68">
        <v>80</v>
      </c>
      <c r="I30" s="69">
        <v>2294.9471210340771</v>
      </c>
      <c r="J30" s="57">
        <v>25.869565217391305</v>
      </c>
      <c r="K30" s="68">
        <v>80</v>
      </c>
      <c r="L30" s="69">
        <v>559.34195064629853</v>
      </c>
      <c r="M30" s="50">
        <v>5275.3623188405791</v>
      </c>
      <c r="O30" s="70">
        <f t="shared" si="2"/>
        <v>10.967489228358792</v>
      </c>
      <c r="Q30" s="70">
        <f t="shared" si="3"/>
        <v>10.967489228358795</v>
      </c>
      <c r="R30" s="6">
        <f t="shared" si="4"/>
        <v>4716.0203681942803</v>
      </c>
      <c r="S30" s="6">
        <f t="shared" si="5"/>
        <v>559.34195064629853</v>
      </c>
      <c r="U30" s="41"/>
      <c r="V30" s="42"/>
    </row>
    <row r="31" spans="1:22" hidden="1" outlineLevel="1" x14ac:dyDescent="0.45">
      <c r="A31" s="65"/>
      <c r="B31" s="66" t="s">
        <v>40</v>
      </c>
      <c r="C31" s="67">
        <v>1</v>
      </c>
      <c r="D31" s="57">
        <v>15.996376811594201</v>
      </c>
      <c r="E31" s="68">
        <v>80</v>
      </c>
      <c r="F31" s="69">
        <v>345.86760673717185</v>
      </c>
      <c r="G31" s="57">
        <v>15.163043478260869</v>
      </c>
      <c r="H31" s="68">
        <v>80</v>
      </c>
      <c r="I31" s="69">
        <v>327.84958871915393</v>
      </c>
      <c r="J31" s="57">
        <v>3.6956521739130435</v>
      </c>
      <c r="K31" s="68">
        <v>80</v>
      </c>
      <c r="L31" s="69">
        <v>79.905992949471212</v>
      </c>
      <c r="M31" s="50">
        <v>753.6231884057969</v>
      </c>
      <c r="O31" s="70">
        <f t="shared" si="2"/>
        <v>1.5667841754798273</v>
      </c>
      <c r="Q31" s="70">
        <f t="shared" si="3"/>
        <v>1.5667841754798277</v>
      </c>
      <c r="R31" s="6">
        <f t="shared" si="4"/>
        <v>673.71719545632573</v>
      </c>
      <c r="S31" s="6">
        <f t="shared" si="5"/>
        <v>79.905992949471212</v>
      </c>
      <c r="U31" s="41"/>
      <c r="V31" s="42"/>
    </row>
    <row r="32" spans="1:22" hidden="1" outlineLevel="1" x14ac:dyDescent="0.45">
      <c r="A32" s="65"/>
      <c r="B32" s="66"/>
      <c r="C32" s="67"/>
      <c r="D32" s="57">
        <f t="shared" ref="D32" si="6">+C32*$D$14</f>
        <v>0</v>
      </c>
      <c r="E32" s="68"/>
      <c r="F32" s="69">
        <f t="shared" ref="F32" si="7">+E32*D32/$F$1</f>
        <v>0</v>
      </c>
      <c r="G32" s="57">
        <f t="shared" ref="G32" si="8">+C32*$G$14</f>
        <v>0</v>
      </c>
      <c r="H32" s="68">
        <f t="shared" ref="H32" si="9">+E32</f>
        <v>0</v>
      </c>
      <c r="I32" s="69">
        <f t="shared" ref="I32" si="10">+H32*G32/$F$1</f>
        <v>0</v>
      </c>
      <c r="J32" s="57">
        <f t="shared" ref="J32" si="11">+C32*$J$14</f>
        <v>0</v>
      </c>
      <c r="K32" s="68">
        <f t="shared" ref="K32" si="12">+E32</f>
        <v>0</v>
      </c>
      <c r="L32" s="69">
        <f t="shared" ref="L32" si="13">+K32*J32/$F$1</f>
        <v>0</v>
      </c>
      <c r="M32" s="50">
        <f t="shared" ref="M32" si="14">+F32+I32+L32</f>
        <v>0</v>
      </c>
      <c r="O32" s="70">
        <f t="shared" si="2"/>
        <v>0</v>
      </c>
      <c r="Q32" s="70">
        <f t="shared" si="3"/>
        <v>0</v>
      </c>
      <c r="R32" s="6">
        <f t="shared" si="4"/>
        <v>0</v>
      </c>
      <c r="S32" s="6">
        <f t="shared" si="5"/>
        <v>0</v>
      </c>
      <c r="U32" s="41"/>
      <c r="V32" s="42"/>
    </row>
    <row r="33" spans="1:22" ht="11.25" hidden="1" customHeight="1" collapsed="1" x14ac:dyDescent="0.45">
      <c r="A33" s="72"/>
      <c r="B33" s="73"/>
      <c r="C33" s="74"/>
      <c r="J33" s="2"/>
      <c r="K33" s="2"/>
      <c r="M33" s="5"/>
      <c r="S33" s="75"/>
      <c r="U33" s="41"/>
      <c r="V33" s="42"/>
    </row>
    <row r="34" spans="1:22" x14ac:dyDescent="0.45">
      <c r="A34" s="46" t="s">
        <v>41</v>
      </c>
      <c r="B34" s="47" t="s">
        <v>42</v>
      </c>
      <c r="C34" s="54"/>
      <c r="D34" s="76"/>
      <c r="E34" s="76"/>
      <c r="F34" s="51">
        <v>21946.277155797103</v>
      </c>
      <c r="G34" s="76"/>
      <c r="H34" s="76"/>
      <c r="I34" s="51">
        <v>20802.982989130436</v>
      </c>
      <c r="J34" s="76"/>
      <c r="K34" s="76">
        <v>2450</v>
      </c>
      <c r="L34" s="51">
        <v>9054.347826086956</v>
      </c>
      <c r="M34" s="51">
        <v>51803.607971014499</v>
      </c>
      <c r="N34" s="52"/>
      <c r="O34" s="53">
        <f>(F34+I34)/O2</f>
        <v>99.416884057971018</v>
      </c>
      <c r="P34" s="53"/>
      <c r="Q34" s="53">
        <f>L34/O1</f>
        <v>177.53623188405797</v>
      </c>
      <c r="R34" s="53">
        <f>O34*O2</f>
        <v>42749.260144927539</v>
      </c>
      <c r="S34" s="53">
        <f>Q34*O1</f>
        <v>9054.347826086956</v>
      </c>
      <c r="U34" s="41"/>
      <c r="V34" s="42"/>
    </row>
    <row r="35" spans="1:22" hidden="1" outlineLevel="1" x14ac:dyDescent="0.45">
      <c r="A35" s="65"/>
      <c r="B35" s="66" t="s">
        <v>43</v>
      </c>
      <c r="C35" s="77">
        <v>280</v>
      </c>
      <c r="D35" s="68">
        <v>4478.9855072463761</v>
      </c>
      <c r="E35" s="78">
        <v>0.63</v>
      </c>
      <c r="F35" s="51">
        <v>2821.760869565217</v>
      </c>
      <c r="G35" s="68">
        <v>4245.652173913043</v>
      </c>
      <c r="H35" s="68">
        <v>0.63</v>
      </c>
      <c r="I35" s="51">
        <v>2674.760869565217</v>
      </c>
      <c r="J35" s="68"/>
      <c r="K35" s="68"/>
      <c r="L35" s="51"/>
      <c r="M35" s="50">
        <v>5496.5217391304341</v>
      </c>
      <c r="U35" s="41"/>
      <c r="V35" s="42"/>
    </row>
    <row r="36" spans="1:22" hidden="1" outlineLevel="1" x14ac:dyDescent="0.45">
      <c r="A36" s="65"/>
      <c r="B36" s="66" t="s">
        <v>44</v>
      </c>
      <c r="C36" s="77">
        <v>168</v>
      </c>
      <c r="D36" s="68">
        <v>2687.391304347826</v>
      </c>
      <c r="E36" s="78">
        <v>1.9469999999999998</v>
      </c>
      <c r="F36" s="51">
        <v>5232.3508695652172</v>
      </c>
      <c r="G36" s="68">
        <v>2547.391304347826</v>
      </c>
      <c r="H36" s="68">
        <v>1.9469999999999998</v>
      </c>
      <c r="I36" s="51">
        <v>4959.7708695652173</v>
      </c>
      <c r="J36" s="68"/>
      <c r="K36" s="68"/>
      <c r="L36" s="51"/>
      <c r="M36" s="50">
        <v>10192.121739130434</v>
      </c>
      <c r="U36" s="41"/>
      <c r="V36" s="42"/>
    </row>
    <row r="37" spans="1:22" hidden="1" outlineLevel="1" x14ac:dyDescent="0.45">
      <c r="A37" s="65"/>
      <c r="B37" s="66" t="s">
        <v>45</v>
      </c>
      <c r="C37" s="77">
        <v>270</v>
      </c>
      <c r="D37" s="68">
        <v>4319.0217391304341</v>
      </c>
      <c r="E37" s="78">
        <v>1.2</v>
      </c>
      <c r="F37" s="51">
        <v>5182.8260869565211</v>
      </c>
      <c r="G37" s="68">
        <v>4094.0217391304345</v>
      </c>
      <c r="H37" s="68">
        <v>1.2</v>
      </c>
      <c r="I37" s="51">
        <v>4912.8260869565211</v>
      </c>
      <c r="J37" s="68"/>
      <c r="K37" s="68"/>
      <c r="L37" s="51"/>
      <c r="M37" s="50">
        <v>10095.652173913042</v>
      </c>
      <c r="U37" s="41"/>
      <c r="V37" s="42"/>
    </row>
    <row r="38" spans="1:22" hidden="1" outlineLevel="1" x14ac:dyDescent="0.45">
      <c r="A38" s="65"/>
      <c r="B38" s="66" t="s">
        <v>46</v>
      </c>
      <c r="C38" s="77">
        <v>127</v>
      </c>
      <c r="D38" s="68">
        <v>2031.5398550724635</v>
      </c>
      <c r="E38" s="78">
        <v>1.25</v>
      </c>
      <c r="F38" s="51">
        <v>2539.4248188405795</v>
      </c>
      <c r="G38" s="68">
        <v>1925.7065217391305</v>
      </c>
      <c r="H38" s="68">
        <v>1.25</v>
      </c>
      <c r="I38" s="51">
        <v>2407.133152173913</v>
      </c>
      <c r="J38" s="68"/>
      <c r="K38" s="68"/>
      <c r="L38" s="51"/>
      <c r="M38" s="50">
        <v>4946.5579710144921</v>
      </c>
      <c r="U38" s="41"/>
      <c r="V38" s="42"/>
    </row>
    <row r="39" spans="1:22" hidden="1" outlineLevel="1" x14ac:dyDescent="0.45">
      <c r="A39" s="65"/>
      <c r="B39" s="66" t="s">
        <v>47</v>
      </c>
      <c r="C39" s="77">
        <v>140</v>
      </c>
      <c r="D39" s="68">
        <v>2239.492753623188</v>
      </c>
      <c r="E39" s="78">
        <v>0.28000000000000003</v>
      </c>
      <c r="F39" s="51">
        <v>627.05797101449275</v>
      </c>
      <c r="G39" s="68">
        <v>2122.8260869565215</v>
      </c>
      <c r="H39" s="68">
        <v>0.28000000000000003</v>
      </c>
      <c r="I39" s="51">
        <v>594.39130434782612</v>
      </c>
      <c r="J39" s="68"/>
      <c r="K39" s="68"/>
      <c r="L39" s="51"/>
      <c r="M39" s="50">
        <v>1221.449275362319</v>
      </c>
      <c r="U39" s="41"/>
      <c r="V39" s="42"/>
    </row>
    <row r="40" spans="1:22" hidden="1" outlineLevel="1" x14ac:dyDescent="0.45">
      <c r="A40" s="65"/>
      <c r="B40" s="66" t="s">
        <v>48</v>
      </c>
      <c r="C40" s="77">
        <v>3</v>
      </c>
      <c r="D40" s="68">
        <v>47.989130434782602</v>
      </c>
      <c r="E40" s="78">
        <v>3.1269999999999998</v>
      </c>
      <c r="F40" s="51">
        <v>150.0620108695652</v>
      </c>
      <c r="G40" s="68">
        <v>45.489130434782609</v>
      </c>
      <c r="H40" s="68">
        <v>3.1269999999999998</v>
      </c>
      <c r="I40" s="51">
        <v>142.2445108695652</v>
      </c>
      <c r="J40" s="68"/>
      <c r="K40" s="68"/>
      <c r="L40" s="51"/>
      <c r="M40" s="50">
        <v>292.3065217391304</v>
      </c>
      <c r="U40" s="41"/>
      <c r="V40" s="42"/>
    </row>
    <row r="41" spans="1:22" hidden="1" outlineLevel="1" x14ac:dyDescent="0.45">
      <c r="A41" s="65"/>
      <c r="B41" s="66" t="s">
        <v>49</v>
      </c>
      <c r="C41" s="77">
        <v>3.5</v>
      </c>
      <c r="D41" s="68">
        <v>55.987318840579704</v>
      </c>
      <c r="E41" s="79">
        <v>19.116</v>
      </c>
      <c r="F41" s="51">
        <v>1070.2535869565215</v>
      </c>
      <c r="G41" s="68">
        <v>53.070652173913039</v>
      </c>
      <c r="H41" s="68">
        <v>19.116</v>
      </c>
      <c r="I41" s="51">
        <v>1014.4985869565216</v>
      </c>
      <c r="J41" s="68"/>
      <c r="K41" s="68"/>
      <c r="L41" s="51"/>
      <c r="M41" s="50">
        <v>2084.7521739130434</v>
      </c>
      <c r="U41" s="41"/>
      <c r="V41" s="42"/>
    </row>
    <row r="42" spans="1:22" hidden="1" outlineLevel="1" x14ac:dyDescent="0.45">
      <c r="A42" s="65"/>
      <c r="B42" s="66" t="s">
        <v>50</v>
      </c>
      <c r="C42" s="77">
        <v>0</v>
      </c>
      <c r="D42" s="68">
        <v>0</v>
      </c>
      <c r="E42" s="79">
        <v>0</v>
      </c>
      <c r="F42" s="51">
        <v>0</v>
      </c>
      <c r="G42" s="68">
        <v>0</v>
      </c>
      <c r="H42" s="68">
        <v>0</v>
      </c>
      <c r="I42" s="51">
        <v>0</v>
      </c>
      <c r="J42" s="68"/>
      <c r="K42" s="68"/>
      <c r="L42" s="51"/>
      <c r="M42" s="50">
        <v>0</v>
      </c>
      <c r="U42" s="41"/>
      <c r="V42" s="42"/>
    </row>
    <row r="43" spans="1:22" hidden="1" outlineLevel="1" x14ac:dyDescent="0.45">
      <c r="A43" s="65"/>
      <c r="B43" s="66" t="s">
        <v>51</v>
      </c>
      <c r="C43" s="77">
        <v>2</v>
      </c>
      <c r="D43" s="68">
        <v>31.992753623188403</v>
      </c>
      <c r="E43" s="79">
        <v>59</v>
      </c>
      <c r="F43" s="51">
        <v>1887.5724637681158</v>
      </c>
      <c r="G43" s="68">
        <v>30.326086956521738</v>
      </c>
      <c r="H43" s="68">
        <v>59</v>
      </c>
      <c r="I43" s="51">
        <v>1789.2391304347825</v>
      </c>
      <c r="J43" s="68"/>
      <c r="K43" s="68"/>
      <c r="L43" s="51"/>
      <c r="M43" s="50">
        <v>3676.811594202898</v>
      </c>
      <c r="U43" s="41"/>
      <c r="V43" s="42"/>
    </row>
    <row r="44" spans="1:22" hidden="1" outlineLevel="1" x14ac:dyDescent="0.45">
      <c r="A44" s="65"/>
      <c r="B44" s="66" t="s">
        <v>52</v>
      </c>
      <c r="C44" s="77">
        <v>50</v>
      </c>
      <c r="D44" s="68">
        <v>799.81884057971001</v>
      </c>
      <c r="E44" s="79">
        <v>0</v>
      </c>
      <c r="F44" s="51">
        <v>0</v>
      </c>
      <c r="G44" s="68">
        <v>758.1521739130435</v>
      </c>
      <c r="H44" s="68">
        <v>0</v>
      </c>
      <c r="I44" s="51">
        <v>0</v>
      </c>
      <c r="J44" s="68"/>
      <c r="K44" s="68"/>
      <c r="L44" s="51"/>
      <c r="M44" s="50">
        <v>0</v>
      </c>
      <c r="U44" s="41"/>
      <c r="V44" s="42"/>
    </row>
    <row r="45" spans="1:22" hidden="1" outlineLevel="1" x14ac:dyDescent="0.45">
      <c r="A45" s="65"/>
      <c r="B45" s="66" t="s">
        <v>53</v>
      </c>
      <c r="C45" s="77">
        <v>0</v>
      </c>
      <c r="D45" s="68">
        <v>0</v>
      </c>
      <c r="E45" s="79">
        <v>1.1563999999999999</v>
      </c>
      <c r="F45" s="51">
        <v>0</v>
      </c>
      <c r="G45" s="68">
        <v>0</v>
      </c>
      <c r="H45" s="68">
        <v>1.1563999999999999</v>
      </c>
      <c r="I45" s="51">
        <v>0</v>
      </c>
      <c r="J45" s="68"/>
      <c r="K45" s="68"/>
      <c r="L45" s="51"/>
      <c r="M45" s="50">
        <v>0</v>
      </c>
      <c r="U45" s="41"/>
      <c r="V45" s="42"/>
    </row>
    <row r="46" spans="1:22" hidden="1" outlineLevel="1" x14ac:dyDescent="0.45">
      <c r="A46" s="65"/>
      <c r="B46" s="66" t="s">
        <v>54</v>
      </c>
      <c r="C46" s="77">
        <v>10</v>
      </c>
      <c r="D46" s="68">
        <v>159.963768115942</v>
      </c>
      <c r="E46" s="78">
        <v>6.4899999999999993</v>
      </c>
      <c r="F46" s="51">
        <v>1038.1648550724635</v>
      </c>
      <c r="G46" s="68">
        <v>151.63043478260869</v>
      </c>
      <c r="H46" s="68">
        <v>6.4899999999999993</v>
      </c>
      <c r="I46" s="51">
        <v>984.08152173913027</v>
      </c>
      <c r="J46" s="68"/>
      <c r="K46" s="68"/>
      <c r="L46" s="51"/>
      <c r="M46" s="50">
        <v>2022.2463768115938</v>
      </c>
      <c r="U46" s="41"/>
      <c r="V46" s="42"/>
    </row>
    <row r="47" spans="1:22" hidden="1" outlineLevel="1" x14ac:dyDescent="0.45">
      <c r="A47" s="65"/>
      <c r="B47" s="66" t="s">
        <v>55</v>
      </c>
      <c r="C47" s="77">
        <v>4</v>
      </c>
      <c r="D47" s="68">
        <v>63.985507246376805</v>
      </c>
      <c r="E47" s="78">
        <v>21.83</v>
      </c>
      <c r="F47" s="51">
        <v>1396.8036231884055</v>
      </c>
      <c r="G47" s="68">
        <v>60.652173913043477</v>
      </c>
      <c r="H47" s="68">
        <v>21.83</v>
      </c>
      <c r="I47" s="51">
        <v>1324.0369565217391</v>
      </c>
      <c r="J47" s="68"/>
      <c r="K47" s="68"/>
      <c r="L47" s="51"/>
      <c r="M47" s="50">
        <v>2720.8405797101445</v>
      </c>
      <c r="U47" s="41"/>
      <c r="V47" s="42"/>
    </row>
    <row r="48" spans="1:22" ht="6" customHeight="1" collapsed="1" x14ac:dyDescent="0.45">
      <c r="A48" s="72"/>
      <c r="B48" s="73"/>
      <c r="C48" s="74"/>
      <c r="J48" s="2"/>
      <c r="K48" s="2"/>
      <c r="M48" s="5"/>
      <c r="U48" s="41"/>
      <c r="V48" s="42"/>
    </row>
    <row r="49" spans="1:22" x14ac:dyDescent="0.45">
      <c r="A49" s="46" t="s">
        <v>56</v>
      </c>
      <c r="B49" s="47" t="s">
        <v>57</v>
      </c>
      <c r="C49" s="54"/>
      <c r="D49" s="76">
        <v>15.996376811594201</v>
      </c>
      <c r="E49" s="76">
        <v>802.4</v>
      </c>
      <c r="F49" s="51">
        <v>12835.492753623186</v>
      </c>
      <c r="G49" s="57">
        <v>15.163043478260869</v>
      </c>
      <c r="H49" s="76">
        <v>802.4</v>
      </c>
      <c r="I49" s="51">
        <v>12166.826086956522</v>
      </c>
      <c r="J49" s="57">
        <v>3.6956521739130435</v>
      </c>
      <c r="K49" s="76">
        <v>1200</v>
      </c>
      <c r="L49" s="51">
        <v>4434.782608695652</v>
      </c>
      <c r="M49" s="51">
        <v>29437.10144927536</v>
      </c>
      <c r="N49" s="59"/>
      <c r="O49" s="53">
        <f>(F49+I49)/O2/1.18</f>
        <v>49.275362318840578</v>
      </c>
      <c r="P49" s="53"/>
      <c r="Q49" s="53">
        <f>L49/O1/1.18</f>
        <v>73.691967575534278</v>
      </c>
      <c r="R49" s="53">
        <f>O49*O2</f>
        <v>21188.405797101448</v>
      </c>
      <c r="S49" s="53">
        <f>Q49*O1</f>
        <v>3758.290346352248</v>
      </c>
      <c r="U49" s="41"/>
      <c r="V49" s="42"/>
    </row>
    <row r="50" spans="1:22" ht="6" customHeight="1" x14ac:dyDescent="0.45">
      <c r="A50" s="80"/>
      <c r="B50" s="81"/>
      <c r="C50" s="61"/>
      <c r="J50" s="2"/>
      <c r="K50" s="2"/>
      <c r="M50" s="5"/>
      <c r="U50" s="41"/>
      <c r="V50" s="42"/>
    </row>
    <row r="51" spans="1:22" x14ac:dyDescent="0.45">
      <c r="A51" s="46" t="s">
        <v>58</v>
      </c>
      <c r="B51" s="47" t="s">
        <v>59</v>
      </c>
      <c r="C51" s="82">
        <v>800</v>
      </c>
      <c r="D51" s="83">
        <v>12797.10144927536</v>
      </c>
      <c r="E51" s="68">
        <v>1.3513513513513513</v>
      </c>
      <c r="F51" s="51">
        <v>17293.380336858594</v>
      </c>
      <c r="G51" s="76">
        <v>12130.434782608696</v>
      </c>
      <c r="H51" s="68">
        <v>1.3513513513513513</v>
      </c>
      <c r="I51" s="51">
        <v>16392.479435957695</v>
      </c>
      <c r="J51" s="84">
        <v>6652.173913043478</v>
      </c>
      <c r="K51" s="85">
        <v>1.3513513513513513</v>
      </c>
      <c r="L51" s="51">
        <v>8989.4242068155108</v>
      </c>
      <c r="M51" s="51">
        <v>42675.2839796318</v>
      </c>
      <c r="N51" s="52"/>
      <c r="O51" s="53">
        <f>(F51+I51)/O2</f>
        <v>78.339208773991359</v>
      </c>
      <c r="P51" s="53"/>
      <c r="Q51" s="53">
        <f>L51/O1</f>
        <v>176.26321974148061</v>
      </c>
      <c r="R51" s="53">
        <f>O51*O2</f>
        <v>33685.859772816286</v>
      </c>
      <c r="S51" s="53">
        <f>Q51*O1</f>
        <v>8989.4242068155108</v>
      </c>
      <c r="U51" s="41"/>
      <c r="V51" s="42"/>
    </row>
    <row r="52" spans="1:22" ht="6" customHeight="1" x14ac:dyDescent="0.45">
      <c r="A52" s="72"/>
      <c r="B52" s="86"/>
      <c r="C52" s="87"/>
      <c r="M52" s="5"/>
      <c r="U52" s="41"/>
      <c r="V52" s="42"/>
    </row>
    <row r="53" spans="1:22" x14ac:dyDescent="0.45">
      <c r="A53" s="46" t="s">
        <v>60</v>
      </c>
      <c r="B53" s="47" t="s">
        <v>61</v>
      </c>
      <c r="C53" s="88"/>
      <c r="D53" s="89"/>
      <c r="E53" s="89"/>
      <c r="F53" s="51">
        <v>5550.4833529181342</v>
      </c>
      <c r="G53" s="89"/>
      <c r="H53" s="89"/>
      <c r="I53" s="51">
        <v>5261.3301997649824</v>
      </c>
      <c r="J53" s="89"/>
      <c r="K53" s="89"/>
      <c r="L53" s="51">
        <v>3177.5417156286717</v>
      </c>
      <c r="M53" s="51">
        <v>13989.355268311789</v>
      </c>
      <c r="N53" s="59"/>
      <c r="O53" s="53">
        <f>(F53+I53)/O2/1.18</f>
        <v>21.308264786525655</v>
      </c>
      <c r="P53" s="53"/>
      <c r="Q53" s="53">
        <f>L53/O1/1.18</f>
        <v>52.800626713670184</v>
      </c>
      <c r="R53" s="53">
        <f>O53*O2</f>
        <v>9162.5538582060308</v>
      </c>
      <c r="S53" s="53">
        <f>Q53*O1</f>
        <v>2692.8319623971793</v>
      </c>
      <c r="U53" s="41"/>
      <c r="V53" s="42"/>
    </row>
    <row r="54" spans="1:22" hidden="1" outlineLevel="1" x14ac:dyDescent="0.45">
      <c r="A54" s="65"/>
      <c r="B54" s="66" t="s">
        <v>62</v>
      </c>
      <c r="C54" s="66"/>
      <c r="D54" s="76">
        <v>15.996376811594201</v>
      </c>
      <c r="E54" s="68">
        <v>38.270270270270267</v>
      </c>
      <c r="F54" s="51">
        <v>612.1856639247942</v>
      </c>
      <c r="G54" s="57">
        <v>15.163043478260869</v>
      </c>
      <c r="H54" s="68">
        <v>38.270270270270267</v>
      </c>
      <c r="I54" s="51">
        <v>580.29377203290244</v>
      </c>
      <c r="J54" s="76">
        <v>3.6956521739130435</v>
      </c>
      <c r="K54" s="68">
        <v>38.270270270270267</v>
      </c>
      <c r="L54" s="51">
        <v>141.43360752056404</v>
      </c>
      <c r="M54" s="50">
        <v>1333.9130434782608</v>
      </c>
      <c r="O54" s="75"/>
      <c r="Q54" s="75"/>
      <c r="R54" s="75"/>
      <c r="S54" s="75"/>
    </row>
    <row r="55" spans="1:22" hidden="1" outlineLevel="1" x14ac:dyDescent="0.45">
      <c r="A55" s="65"/>
      <c r="B55" s="66" t="s">
        <v>63</v>
      </c>
      <c r="C55" s="66"/>
      <c r="D55" s="76">
        <v>15.996376811594201</v>
      </c>
      <c r="E55" s="68">
        <v>23.599999999999998</v>
      </c>
      <c r="F55" s="51">
        <v>377.51449275362313</v>
      </c>
      <c r="G55" s="57">
        <v>15.163043478260869</v>
      </c>
      <c r="H55" s="68">
        <v>23.599999999999998</v>
      </c>
      <c r="I55" s="51">
        <v>357.8478260869565</v>
      </c>
      <c r="J55" s="76">
        <v>3.6956521739130435</v>
      </c>
      <c r="K55" s="68">
        <v>23.599999999999998</v>
      </c>
      <c r="L55" s="51">
        <v>87.217391304347814</v>
      </c>
      <c r="M55" s="50">
        <v>822.5797101449275</v>
      </c>
      <c r="O55" s="75"/>
      <c r="Q55" s="75"/>
      <c r="R55" s="75"/>
      <c r="S55" s="75"/>
    </row>
    <row r="56" spans="1:22" hidden="1" outlineLevel="1" x14ac:dyDescent="0.45">
      <c r="A56" s="65"/>
      <c r="B56" s="66" t="s">
        <v>64</v>
      </c>
      <c r="C56" s="66"/>
      <c r="D56" s="76">
        <v>15.996376811594201</v>
      </c>
      <c r="E56" s="68">
        <v>28.702702702702698</v>
      </c>
      <c r="F56" s="51">
        <v>459.13924794359565</v>
      </c>
      <c r="G56" s="57">
        <v>15.163043478260869</v>
      </c>
      <c r="H56" s="68">
        <v>28.702702702702698</v>
      </c>
      <c r="I56" s="51">
        <v>435.22032902467674</v>
      </c>
      <c r="J56" s="76">
        <v>3.6956521739130435</v>
      </c>
      <c r="K56" s="68">
        <v>28.702702702702698</v>
      </c>
      <c r="L56" s="51">
        <v>106.07520564042301</v>
      </c>
      <c r="M56" s="50">
        <v>1000.4347826086955</v>
      </c>
      <c r="O56" s="75"/>
      <c r="Q56" s="75"/>
      <c r="R56" s="75"/>
      <c r="S56" s="75"/>
    </row>
    <row r="57" spans="1:22" hidden="1" outlineLevel="1" x14ac:dyDescent="0.45">
      <c r="A57" s="65"/>
      <c r="B57" s="66" t="s">
        <v>65</v>
      </c>
      <c r="C57" s="66">
        <v>12</v>
      </c>
      <c r="D57" s="76">
        <v>191.95652173913041</v>
      </c>
      <c r="E57" s="68">
        <v>21.367567567567566</v>
      </c>
      <c r="F57" s="51">
        <v>4101.6439482961214</v>
      </c>
      <c r="G57" s="57">
        <v>181.95652173913044</v>
      </c>
      <c r="H57" s="68">
        <v>21.367567567567566</v>
      </c>
      <c r="I57" s="51">
        <v>3887.9682726204464</v>
      </c>
      <c r="J57" s="57">
        <v>133.04347826086956</v>
      </c>
      <c r="K57" s="68">
        <v>21.367567567567566</v>
      </c>
      <c r="L57" s="51">
        <v>2842.8155111633369</v>
      </c>
      <c r="M57" s="50">
        <v>10832.427732079905</v>
      </c>
      <c r="O57" s="75"/>
      <c r="Q57" s="75"/>
      <c r="R57" s="75"/>
      <c r="S57" s="75"/>
    </row>
    <row r="58" spans="1:22" ht="6" customHeight="1" outlineLevel="1" x14ac:dyDescent="0.45">
      <c r="A58" s="65"/>
      <c r="B58" s="66"/>
      <c r="C58" s="66"/>
      <c r="D58" s="76"/>
      <c r="E58" s="68"/>
      <c r="F58" s="51"/>
      <c r="G58" s="76"/>
      <c r="H58" s="68"/>
      <c r="I58" s="51"/>
      <c r="J58" s="76"/>
      <c r="K58" s="68"/>
      <c r="L58" s="51"/>
      <c r="M58" s="50"/>
      <c r="O58" s="75"/>
      <c r="Q58" s="75"/>
      <c r="R58" s="75"/>
      <c r="S58" s="75"/>
    </row>
    <row r="59" spans="1:22" hidden="1" outlineLevel="1" x14ac:dyDescent="0.45">
      <c r="A59" s="90" t="s">
        <v>66</v>
      </c>
      <c r="B59" s="91" t="s">
        <v>67</v>
      </c>
      <c r="C59" s="92"/>
      <c r="D59" s="93"/>
      <c r="E59" s="94"/>
      <c r="F59" s="95"/>
      <c r="G59" s="93"/>
      <c r="H59" s="94"/>
      <c r="I59" s="95"/>
      <c r="J59" s="93"/>
      <c r="K59" s="94"/>
      <c r="L59" s="95"/>
      <c r="M59" s="96"/>
      <c r="O59" s="75"/>
      <c r="Q59" s="75"/>
      <c r="R59" s="75"/>
      <c r="S59" s="75"/>
    </row>
    <row r="60" spans="1:22" hidden="1" outlineLevel="1" x14ac:dyDescent="0.45">
      <c r="A60" s="65"/>
      <c r="B60" s="66" t="s">
        <v>68</v>
      </c>
      <c r="C60" s="66"/>
      <c r="D60" s="76"/>
      <c r="E60" s="68"/>
      <c r="F60" s="51"/>
      <c r="G60" s="76"/>
      <c r="H60" s="68"/>
      <c r="I60" s="51"/>
      <c r="J60" s="76"/>
      <c r="K60" s="68"/>
      <c r="L60" s="51"/>
      <c r="M60" s="50"/>
      <c r="O60" s="75"/>
      <c r="Q60" s="75"/>
      <c r="R60" s="75"/>
      <c r="S60" s="75"/>
    </row>
    <row r="61" spans="1:22" ht="6.75" hidden="1" customHeight="1" outlineLevel="1" x14ac:dyDescent="0.45">
      <c r="A61" s="65"/>
      <c r="B61" s="66"/>
      <c r="C61" s="66"/>
      <c r="D61" s="76"/>
      <c r="E61" s="68"/>
      <c r="F61" s="51"/>
      <c r="G61" s="76"/>
      <c r="H61" s="68"/>
      <c r="I61" s="51"/>
      <c r="J61" s="76"/>
      <c r="K61" s="68"/>
      <c r="L61" s="51"/>
      <c r="M61" s="50"/>
      <c r="O61" s="75"/>
      <c r="Q61" s="75"/>
      <c r="R61" s="75"/>
      <c r="S61" s="75"/>
    </row>
    <row r="62" spans="1:22" hidden="1" outlineLevel="1" x14ac:dyDescent="0.45">
      <c r="A62" s="90" t="s">
        <v>69</v>
      </c>
      <c r="B62" s="91" t="s">
        <v>70</v>
      </c>
      <c r="C62" s="92"/>
      <c r="D62" s="93"/>
      <c r="E62" s="94"/>
      <c r="F62" s="95"/>
      <c r="G62" s="93"/>
      <c r="H62" s="94"/>
      <c r="I62" s="95"/>
      <c r="J62" s="93"/>
      <c r="K62" s="94"/>
      <c r="L62" s="95"/>
      <c r="M62" s="96"/>
      <c r="O62" s="75"/>
      <c r="Q62" s="75"/>
      <c r="R62" s="75"/>
      <c r="S62" s="75"/>
    </row>
    <row r="63" spans="1:22" hidden="1" outlineLevel="1" x14ac:dyDescent="0.45">
      <c r="A63" s="65"/>
      <c r="B63" s="66" t="s">
        <v>71</v>
      </c>
      <c r="C63" s="66"/>
      <c r="D63" s="76"/>
      <c r="E63" s="68"/>
      <c r="F63" s="51"/>
      <c r="G63" s="76"/>
      <c r="H63" s="68"/>
      <c r="I63" s="51"/>
      <c r="J63" s="76"/>
      <c r="K63" s="68"/>
      <c r="L63" s="51"/>
      <c r="M63" s="50"/>
      <c r="O63" s="75"/>
      <c r="Q63" s="75"/>
      <c r="R63" s="75"/>
      <c r="S63" s="75"/>
    </row>
    <row r="64" spans="1:22" ht="5.0999999999999996" customHeight="1" thickBot="1" x14ac:dyDescent="0.5">
      <c r="A64" s="43"/>
      <c r="B64" s="97"/>
      <c r="C64" s="98"/>
      <c r="M64" s="5"/>
    </row>
    <row r="65" spans="1:27" s="6" customFormat="1" ht="21.75" customHeight="1" thickBot="1" x14ac:dyDescent="0.5">
      <c r="A65" s="99" t="s">
        <v>72</v>
      </c>
      <c r="B65" s="100" t="s">
        <v>73</v>
      </c>
      <c r="C65" s="100"/>
      <c r="D65" s="40"/>
      <c r="E65" s="40"/>
      <c r="F65" s="40">
        <f>+F67+F69+F71+F73+F75+F77+F78+F80+F102+F107+F109</f>
        <v>2325745.1540540541</v>
      </c>
      <c r="G65" s="40"/>
      <c r="H65" s="40"/>
      <c r="I65" s="40">
        <f>+I67+I69+I71+I73+I75+I77+I78+I80+I102+I107+I109</f>
        <v>2218954.4844594593</v>
      </c>
      <c r="J65" s="40"/>
      <c r="K65" s="40"/>
      <c r="L65" s="40">
        <f>+L67+L69+L71+L73+L75+L77+L78+L80+L102+L107+L109</f>
        <v>706737.05945945939</v>
      </c>
      <c r="M65" s="40">
        <f>+M67+M69+M71+M73+M75+M77+M78+M80+M102+M107+M109</f>
        <v>5280236.6979729729</v>
      </c>
      <c r="N65" s="40"/>
      <c r="O65" s="40">
        <f>+O67+O69+O71+O73+O75+O77+O78+O80+O102+O107+O109</f>
        <v>9960.4368433053587</v>
      </c>
      <c r="P65" s="40">
        <f>+P67+P69+P71+P73+P75+P77+P78+P80+P102+P107+P109</f>
        <v>0</v>
      </c>
      <c r="Q65" s="40">
        <f>+Q67+Q69+Q71+Q73+Q75+Q77+Q78+Q80+Q102+Q107+Q109</f>
        <v>13136.835154964767</v>
      </c>
      <c r="R65" s="40">
        <f>+R67+R69+R71+R73+R75+R77+R78+R80+R102+R107+R109</f>
        <v>4282987.8426213041</v>
      </c>
      <c r="S65" s="40">
        <f>+S67+S69+S71+S73+S75+S77+S78+S80+S102+S107+S109</f>
        <v>669978.5929032031</v>
      </c>
      <c r="T65" s="53"/>
      <c r="U65" s="53"/>
      <c r="V65" s="53"/>
      <c r="W65" s="53"/>
      <c r="X65" s="53"/>
      <c r="Y65" s="53"/>
      <c r="Z65" s="53"/>
      <c r="AA65" s="53"/>
    </row>
    <row r="66" spans="1:27" ht="5.0999999999999996" customHeight="1" x14ac:dyDescent="0.45">
      <c r="A66" s="43"/>
      <c r="B66" s="97"/>
      <c r="C66" s="98"/>
      <c r="M66" s="5"/>
    </row>
    <row r="67" spans="1:27" x14ac:dyDescent="0.45">
      <c r="A67" s="46" t="s">
        <v>20</v>
      </c>
      <c r="B67" s="47" t="s">
        <v>74</v>
      </c>
      <c r="C67" s="54"/>
      <c r="D67" s="76">
        <v>220.75</v>
      </c>
      <c r="E67" s="50">
        <v>1564</v>
      </c>
      <c r="F67" s="51">
        <v>345253</v>
      </c>
      <c r="G67" s="76">
        <v>209.25</v>
      </c>
      <c r="H67" s="50">
        <v>1564</v>
      </c>
      <c r="I67" s="51">
        <v>327267</v>
      </c>
      <c r="J67" s="76">
        <v>51</v>
      </c>
      <c r="K67" s="50">
        <v>1564</v>
      </c>
      <c r="L67" s="51">
        <v>79764</v>
      </c>
      <c r="M67" s="51">
        <v>752284</v>
      </c>
      <c r="N67" s="52"/>
      <c r="O67" s="53">
        <f>(F67+I67)/O2</f>
        <v>1564</v>
      </c>
      <c r="P67" s="53"/>
      <c r="Q67" s="53">
        <f>L67/O1</f>
        <v>1564</v>
      </c>
      <c r="R67" s="53">
        <f>O67*O2</f>
        <v>672520</v>
      </c>
      <c r="S67" s="53">
        <f>Q67*O1</f>
        <v>79764</v>
      </c>
    </row>
    <row r="68" spans="1:27" ht="5.0999999999999996" customHeight="1" x14ac:dyDescent="0.45">
      <c r="A68" s="43"/>
      <c r="B68" s="97"/>
      <c r="C68" s="74"/>
      <c r="J68" s="2"/>
      <c r="K68" s="2"/>
      <c r="M68" s="5"/>
      <c r="O68" s="75"/>
      <c r="Q68" s="6">
        <f>L68/22</f>
        <v>0</v>
      </c>
      <c r="S68" s="6">
        <f t="shared" ref="S68:S76" si="15">Q68*22</f>
        <v>0</v>
      </c>
    </row>
    <row r="69" spans="1:27" x14ac:dyDescent="0.45">
      <c r="A69" s="46" t="s">
        <v>22</v>
      </c>
      <c r="B69" s="47" t="s">
        <v>75</v>
      </c>
      <c r="C69" s="66"/>
      <c r="D69" s="76"/>
      <c r="E69" s="76"/>
      <c r="F69" s="51">
        <v>100567</v>
      </c>
      <c r="G69" s="76"/>
      <c r="H69" s="76"/>
      <c r="I69" s="51">
        <v>95680</v>
      </c>
      <c r="J69" s="76"/>
      <c r="K69" s="76"/>
      <c r="L69" s="51">
        <v>22570</v>
      </c>
      <c r="M69" s="51">
        <v>218817</v>
      </c>
      <c r="N69" s="59"/>
      <c r="O69" s="53">
        <f>(F69+I69)/O2/1.18</f>
        <v>386.76980685849429</v>
      </c>
      <c r="P69" s="53"/>
      <c r="Q69" s="53">
        <f>L69/O1/1.18</f>
        <v>375.04154204054504</v>
      </c>
      <c r="R69" s="53">
        <f>O69*O2</f>
        <v>166311.01694915254</v>
      </c>
      <c r="S69" s="53">
        <f>Q69*O1</f>
        <v>19127.118644067796</v>
      </c>
    </row>
    <row r="70" spans="1:27" ht="5.0999999999999996" customHeight="1" x14ac:dyDescent="0.45">
      <c r="A70" s="80"/>
      <c r="B70" s="101"/>
      <c r="J70" s="2"/>
      <c r="K70" s="2"/>
      <c r="M70" s="5"/>
      <c r="O70" s="75">
        <f>(F70+I70)/343</f>
        <v>0</v>
      </c>
      <c r="Q70" s="6">
        <f>L70/22</f>
        <v>0</v>
      </c>
      <c r="R70" s="6">
        <f t="shared" ref="R70:R76" si="16">O70*343</f>
        <v>0</v>
      </c>
      <c r="S70" s="6">
        <f t="shared" si="15"/>
        <v>0</v>
      </c>
    </row>
    <row r="71" spans="1:27" x14ac:dyDescent="0.45">
      <c r="A71" s="46" t="s">
        <v>24</v>
      </c>
      <c r="B71" s="47" t="s">
        <v>76</v>
      </c>
      <c r="C71" s="102">
        <v>755</v>
      </c>
      <c r="D71" s="103">
        <v>166666.25</v>
      </c>
      <c r="E71" s="104">
        <v>1.3513513513513513</v>
      </c>
      <c r="F71" s="51">
        <v>225224.66216216216</v>
      </c>
      <c r="G71" s="76">
        <v>157983.75</v>
      </c>
      <c r="H71" s="68">
        <v>1.3513513513513513</v>
      </c>
      <c r="I71" s="51">
        <v>213491.55405405405</v>
      </c>
      <c r="J71" s="105">
        <v>102153</v>
      </c>
      <c r="K71" s="68">
        <v>1.3513513513513513</v>
      </c>
      <c r="L71" s="51">
        <v>138044.59459459459</v>
      </c>
      <c r="M71" s="51">
        <v>576760.81081081077</v>
      </c>
      <c r="N71" s="52"/>
      <c r="O71" s="53">
        <f>(F71+I71)/O2</f>
        <v>1020.2702702702703</v>
      </c>
      <c r="P71" s="53"/>
      <c r="Q71" s="106">
        <f>L71/O1</f>
        <v>2706.7567567567567</v>
      </c>
      <c r="R71" s="53">
        <f>O71*O2</f>
        <v>438716.21621621621</v>
      </c>
      <c r="S71" s="53">
        <f>Q71*O1</f>
        <v>138044.59459459459</v>
      </c>
    </row>
    <row r="72" spans="1:27" ht="5.0999999999999996" customHeight="1" x14ac:dyDescent="0.45">
      <c r="A72" s="43"/>
      <c r="B72" s="101"/>
      <c r="J72" s="2"/>
      <c r="K72" s="2"/>
      <c r="M72" s="5"/>
      <c r="O72" s="75">
        <f>(F72+I72)/343</f>
        <v>0</v>
      </c>
      <c r="Q72" s="6">
        <f>L72/22</f>
        <v>0</v>
      </c>
      <c r="R72" s="6">
        <f t="shared" si="16"/>
        <v>0</v>
      </c>
      <c r="S72" s="6">
        <f t="shared" si="15"/>
        <v>0</v>
      </c>
    </row>
    <row r="73" spans="1:27" x14ac:dyDescent="0.45">
      <c r="A73" s="46" t="s">
        <v>41</v>
      </c>
      <c r="B73" s="47" t="s">
        <v>23</v>
      </c>
      <c r="C73" s="66">
        <v>10200</v>
      </c>
      <c r="D73" s="76">
        <v>220.75</v>
      </c>
      <c r="E73" s="68">
        <v>0.34</v>
      </c>
      <c r="F73" s="51">
        <v>206908.37837837837</v>
      </c>
      <c r="G73" s="76">
        <v>209.25</v>
      </c>
      <c r="H73" s="68">
        <v>0.34</v>
      </c>
      <c r="I73" s="51">
        <v>196129.45945945944</v>
      </c>
      <c r="J73" s="76">
        <v>51</v>
      </c>
      <c r="K73" s="68">
        <v>0.34</v>
      </c>
      <c r="L73" s="51">
        <v>52020</v>
      </c>
      <c r="M73" s="51">
        <v>455057.83783783781</v>
      </c>
      <c r="N73" s="59"/>
      <c r="O73" s="53">
        <f>(F73+I73)/O2/1.18</f>
        <v>794.31974347228584</v>
      </c>
      <c r="P73" s="53"/>
      <c r="Q73" s="53">
        <f>L73/O1/1.18</f>
        <v>864.40677966101703</v>
      </c>
      <c r="R73" s="53">
        <f>O73*O2</f>
        <v>341557.48969308293</v>
      </c>
      <c r="S73" s="53">
        <f>Q73*O1</f>
        <v>44084.745762711871</v>
      </c>
    </row>
    <row r="74" spans="1:27" ht="5.0999999999999996" customHeight="1" x14ac:dyDescent="0.45">
      <c r="A74" s="43"/>
      <c r="B74" s="101"/>
      <c r="J74" s="2"/>
      <c r="K74" s="2"/>
      <c r="M74" s="5"/>
      <c r="O74" s="75"/>
      <c r="R74" s="6">
        <f t="shared" si="16"/>
        <v>0</v>
      </c>
      <c r="S74" s="6">
        <f t="shared" si="15"/>
        <v>0</v>
      </c>
    </row>
    <row r="75" spans="1:27" x14ac:dyDescent="0.45">
      <c r="A75" s="46" t="s">
        <v>56</v>
      </c>
      <c r="B75" s="47" t="s">
        <v>77</v>
      </c>
      <c r="C75" s="66"/>
      <c r="D75" s="76"/>
      <c r="E75" s="76"/>
      <c r="F75" s="51">
        <v>144122.9</v>
      </c>
      <c r="G75" s="76"/>
      <c r="H75" s="76"/>
      <c r="I75" s="51">
        <v>136615</v>
      </c>
      <c r="J75" s="76"/>
      <c r="K75" s="76"/>
      <c r="L75" s="51">
        <v>33520</v>
      </c>
      <c r="M75" s="51">
        <v>314257.90000000002</v>
      </c>
      <c r="N75" s="59"/>
      <c r="O75" s="53">
        <f>(F75+I75)/O2/1.18</f>
        <v>553.28715017737488</v>
      </c>
      <c r="P75" s="53"/>
      <c r="Q75" s="53">
        <f>L75/O1/1.18</f>
        <v>556.99567962778337</v>
      </c>
      <c r="R75" s="53">
        <f>O75*O2</f>
        <v>237913.4745762712</v>
      </c>
      <c r="S75" s="53">
        <f>Q75*O1</f>
        <v>28406.779661016953</v>
      </c>
    </row>
    <row r="76" spans="1:27" ht="5.0999999999999996" customHeight="1" x14ac:dyDescent="0.45">
      <c r="A76" s="43"/>
      <c r="B76" s="101"/>
      <c r="J76" s="2"/>
      <c r="K76" s="2"/>
      <c r="M76" s="62"/>
      <c r="O76" s="53">
        <f>(F76+I76)/343</f>
        <v>0</v>
      </c>
      <c r="P76" s="53"/>
      <c r="Q76" s="53">
        <f t="shared" ref="Q76" si="17">L76/22</f>
        <v>0</v>
      </c>
      <c r="R76" s="53">
        <f t="shared" si="16"/>
        <v>0</v>
      </c>
      <c r="S76" s="53">
        <f t="shared" si="15"/>
        <v>0</v>
      </c>
    </row>
    <row r="77" spans="1:27" ht="14.25" customHeight="1" x14ac:dyDescent="0.45">
      <c r="A77" s="46" t="s">
        <v>58</v>
      </c>
      <c r="B77" s="47" t="s">
        <v>78</v>
      </c>
      <c r="C77" s="46"/>
      <c r="D77" s="76"/>
      <c r="E77" s="76"/>
      <c r="F77" s="51">
        <v>348590</v>
      </c>
      <c r="G77" s="76"/>
      <c r="H77" s="76"/>
      <c r="I77" s="51">
        <v>330430</v>
      </c>
      <c r="J77" s="50"/>
      <c r="K77" s="50"/>
      <c r="L77" s="107">
        <v>125001</v>
      </c>
      <c r="M77" s="51">
        <v>804021</v>
      </c>
      <c r="N77" s="52"/>
      <c r="O77" s="53">
        <f>(F77+I77)/O2</f>
        <v>1579.1162790697674</v>
      </c>
      <c r="P77" s="53"/>
      <c r="Q77" s="106">
        <f>L77/O1</f>
        <v>2451</v>
      </c>
      <c r="R77" s="53">
        <f>O77*O2</f>
        <v>679020</v>
      </c>
      <c r="S77" s="53">
        <f>Q77*O1</f>
        <v>125001</v>
      </c>
    </row>
    <row r="78" spans="1:27" x14ac:dyDescent="0.45">
      <c r="A78" s="46" t="s">
        <v>60</v>
      </c>
      <c r="B78" s="47" t="s">
        <v>79</v>
      </c>
      <c r="C78" s="46"/>
      <c r="D78" s="76">
        <v>220.75</v>
      </c>
      <c r="E78" s="76">
        <v>1700</v>
      </c>
      <c r="F78" s="51">
        <v>375275</v>
      </c>
      <c r="G78" s="76">
        <v>209.25</v>
      </c>
      <c r="H78" s="76">
        <v>1700</v>
      </c>
      <c r="I78" s="51">
        <v>355725</v>
      </c>
      <c r="J78" s="76">
        <v>51</v>
      </c>
      <c r="K78" s="76">
        <v>2400</v>
      </c>
      <c r="L78" s="51">
        <v>122400</v>
      </c>
      <c r="M78" s="51">
        <v>853400</v>
      </c>
      <c r="N78" s="59"/>
      <c r="O78" s="53">
        <f>(F78+I78)/O2/1.18</f>
        <v>1440.6779661016949</v>
      </c>
      <c r="P78" s="53"/>
      <c r="Q78" s="53">
        <f>L78/O1/1.18</f>
        <v>2033.898305084746</v>
      </c>
      <c r="R78" s="53">
        <f>O78*O2</f>
        <v>619491.52542372886</v>
      </c>
      <c r="S78" s="53">
        <f>Q78*O1</f>
        <v>103728.81355932205</v>
      </c>
    </row>
    <row r="79" spans="1:27" ht="3" customHeight="1" x14ac:dyDescent="0.45">
      <c r="A79" s="43"/>
      <c r="B79" s="97"/>
      <c r="C79" s="74"/>
      <c r="J79" s="2"/>
      <c r="K79" s="2"/>
      <c r="M79" s="5"/>
      <c r="O79" s="53"/>
      <c r="P79" s="53"/>
      <c r="Q79" s="53"/>
      <c r="R79" s="53"/>
      <c r="S79" s="53"/>
    </row>
    <row r="80" spans="1:27" x14ac:dyDescent="0.45">
      <c r="A80" s="46" t="s">
        <v>66</v>
      </c>
      <c r="B80" s="47" t="s">
        <v>80</v>
      </c>
      <c r="C80" s="46">
        <v>87.800000000000011</v>
      </c>
      <c r="D80" s="57"/>
      <c r="E80" s="64"/>
      <c r="F80" s="51">
        <v>419067</v>
      </c>
      <c r="G80" s="57"/>
      <c r="H80" s="64"/>
      <c r="I80" s="51">
        <v>397236</v>
      </c>
      <c r="J80" s="57"/>
      <c r="K80" s="64"/>
      <c r="L80" s="51">
        <v>96817</v>
      </c>
      <c r="M80" s="51">
        <v>913120</v>
      </c>
      <c r="N80" s="52"/>
      <c r="O80" s="108">
        <f>(F80+I80)/O2</f>
        <v>1898.3790697674419</v>
      </c>
      <c r="P80" s="109"/>
      <c r="Q80" s="109">
        <f>L80/O1</f>
        <v>1898.3725490196077</v>
      </c>
      <c r="R80" s="109">
        <f>O80*O2</f>
        <v>816303</v>
      </c>
      <c r="S80" s="109">
        <f>Q80*O1</f>
        <v>96817</v>
      </c>
    </row>
    <row r="81" spans="1:19" hidden="1" outlineLevel="1" x14ac:dyDescent="0.45">
      <c r="A81" s="65"/>
      <c r="B81" s="66" t="s">
        <v>81</v>
      </c>
      <c r="C81" s="66">
        <v>1.3</v>
      </c>
      <c r="D81" s="57">
        <v>286.97500000000002</v>
      </c>
      <c r="E81" s="68">
        <v>80</v>
      </c>
      <c r="F81" s="51">
        <v>6204.864864864865</v>
      </c>
      <c r="G81" s="57">
        <v>272.02500000000003</v>
      </c>
      <c r="H81" s="68">
        <v>80</v>
      </c>
      <c r="I81" s="51">
        <v>5881.6216216216226</v>
      </c>
      <c r="J81" s="57">
        <v>66.3</v>
      </c>
      <c r="K81" s="68">
        <v>80</v>
      </c>
      <c r="L81" s="51">
        <v>1433.5135135135135</v>
      </c>
      <c r="M81" s="50">
        <v>13520</v>
      </c>
      <c r="O81" s="110"/>
      <c r="R81" s="75"/>
      <c r="S81" s="75"/>
    </row>
    <row r="82" spans="1:19" hidden="1" outlineLevel="1" x14ac:dyDescent="0.45">
      <c r="A82" s="65"/>
      <c r="B82" s="66" t="s">
        <v>82</v>
      </c>
      <c r="C82" s="66">
        <v>1</v>
      </c>
      <c r="D82" s="57">
        <v>220.75</v>
      </c>
      <c r="E82" s="68">
        <v>80</v>
      </c>
      <c r="F82" s="51">
        <v>4772.9729729729725</v>
      </c>
      <c r="G82" s="57">
        <v>209.25</v>
      </c>
      <c r="H82" s="68">
        <v>80</v>
      </c>
      <c r="I82" s="51">
        <v>4524.3243243243242</v>
      </c>
      <c r="J82" s="57">
        <v>51</v>
      </c>
      <c r="K82" s="68">
        <v>80</v>
      </c>
      <c r="L82" s="51">
        <v>1102.7027027027027</v>
      </c>
      <c r="M82" s="50">
        <v>10400</v>
      </c>
      <c r="O82" s="110"/>
      <c r="R82" s="75"/>
      <c r="S82" s="75"/>
    </row>
    <row r="83" spans="1:19" hidden="1" outlineLevel="1" x14ac:dyDescent="0.45">
      <c r="A83" s="65"/>
      <c r="B83" s="66" t="s">
        <v>83</v>
      </c>
      <c r="C83" s="66">
        <v>5</v>
      </c>
      <c r="D83" s="57">
        <v>1103.75</v>
      </c>
      <c r="E83" s="68">
        <v>80</v>
      </c>
      <c r="F83" s="51">
        <v>23864.864864864863</v>
      </c>
      <c r="G83" s="57">
        <v>1046.25</v>
      </c>
      <c r="H83" s="68">
        <v>80</v>
      </c>
      <c r="I83" s="51">
        <v>22621.62162162162</v>
      </c>
      <c r="J83" s="57">
        <v>255</v>
      </c>
      <c r="K83" s="68">
        <v>80</v>
      </c>
      <c r="L83" s="51">
        <v>5513.5135135135133</v>
      </c>
      <c r="M83" s="50">
        <v>51999.999999999993</v>
      </c>
      <c r="O83" s="110"/>
      <c r="R83" s="75"/>
      <c r="S83" s="75"/>
    </row>
    <row r="84" spans="1:19" hidden="1" outlineLevel="1" x14ac:dyDescent="0.45">
      <c r="A84" s="65"/>
      <c r="B84" s="66" t="s">
        <v>84</v>
      </c>
      <c r="C84" s="66">
        <v>0</v>
      </c>
      <c r="D84" s="57">
        <v>0</v>
      </c>
      <c r="E84" s="68">
        <v>80</v>
      </c>
      <c r="F84" s="51">
        <v>0</v>
      </c>
      <c r="G84" s="57">
        <v>0</v>
      </c>
      <c r="H84" s="68">
        <v>80</v>
      </c>
      <c r="I84" s="51">
        <v>0</v>
      </c>
      <c r="J84" s="57">
        <v>0</v>
      </c>
      <c r="K84" s="68">
        <v>80</v>
      </c>
      <c r="L84" s="51">
        <v>0</v>
      </c>
      <c r="M84" s="50">
        <v>0</v>
      </c>
      <c r="O84" s="110"/>
      <c r="R84" s="75"/>
      <c r="S84" s="75"/>
    </row>
    <row r="85" spans="1:19" hidden="1" outlineLevel="1" x14ac:dyDescent="0.45">
      <c r="A85" s="65"/>
      <c r="B85" s="66" t="s">
        <v>85</v>
      </c>
      <c r="C85" s="66">
        <v>0.3</v>
      </c>
      <c r="D85" s="57">
        <v>66.224999999999994</v>
      </c>
      <c r="E85" s="68">
        <v>80</v>
      </c>
      <c r="F85" s="51">
        <v>1431.8918918918919</v>
      </c>
      <c r="G85" s="57">
        <v>62.774999999999999</v>
      </c>
      <c r="H85" s="68">
        <v>80</v>
      </c>
      <c r="I85" s="51">
        <v>1357.2972972972973</v>
      </c>
      <c r="J85" s="57">
        <v>15.299999999999999</v>
      </c>
      <c r="K85" s="68">
        <v>80</v>
      </c>
      <c r="L85" s="51">
        <v>330.81081081081078</v>
      </c>
      <c r="M85" s="50">
        <v>3120</v>
      </c>
      <c r="O85" s="110"/>
      <c r="R85" s="75"/>
      <c r="S85" s="75"/>
    </row>
    <row r="86" spans="1:19" hidden="1" outlineLevel="1" x14ac:dyDescent="0.45">
      <c r="A86" s="65"/>
      <c r="B86" s="66" t="s">
        <v>86</v>
      </c>
      <c r="C86" s="66">
        <v>1.5</v>
      </c>
      <c r="D86" s="57">
        <v>331.125</v>
      </c>
      <c r="E86" s="68">
        <v>80</v>
      </c>
      <c r="F86" s="51">
        <v>7159.4594594594591</v>
      </c>
      <c r="G86" s="57">
        <v>313.875</v>
      </c>
      <c r="H86" s="68">
        <v>80</v>
      </c>
      <c r="I86" s="51">
        <v>6786.4864864864858</v>
      </c>
      <c r="J86" s="57">
        <v>76.5</v>
      </c>
      <c r="K86" s="68">
        <v>80</v>
      </c>
      <c r="L86" s="51">
        <v>1654.0540540540539</v>
      </c>
      <c r="M86" s="50">
        <v>15599.999999999998</v>
      </c>
      <c r="O86" s="110"/>
      <c r="R86" s="75"/>
      <c r="S86" s="75"/>
    </row>
    <row r="87" spans="1:19" hidden="1" outlineLevel="1" x14ac:dyDescent="0.45">
      <c r="A87" s="65"/>
      <c r="B87" s="66" t="s">
        <v>87</v>
      </c>
      <c r="C87" s="66">
        <v>1</v>
      </c>
      <c r="D87" s="57">
        <v>220.75</v>
      </c>
      <c r="E87" s="68">
        <v>80</v>
      </c>
      <c r="F87" s="51">
        <v>4772.9729729729725</v>
      </c>
      <c r="G87" s="57">
        <v>209.25</v>
      </c>
      <c r="H87" s="68">
        <v>80</v>
      </c>
      <c r="I87" s="51">
        <v>4524.3243243243242</v>
      </c>
      <c r="J87" s="57">
        <v>51</v>
      </c>
      <c r="K87" s="68">
        <v>80</v>
      </c>
      <c r="L87" s="51">
        <v>1102.7027027027027</v>
      </c>
      <c r="M87" s="50">
        <v>10400</v>
      </c>
      <c r="O87" s="110"/>
      <c r="R87" s="75"/>
      <c r="S87" s="75"/>
    </row>
    <row r="88" spans="1:19" hidden="1" outlineLevel="1" x14ac:dyDescent="0.45">
      <c r="A88" s="65"/>
      <c r="B88" s="66" t="s">
        <v>88</v>
      </c>
      <c r="C88" s="66">
        <v>20</v>
      </c>
      <c r="D88" s="57">
        <v>4415</v>
      </c>
      <c r="E88" s="68">
        <v>80</v>
      </c>
      <c r="F88" s="51">
        <v>95459.459459459453</v>
      </c>
      <c r="G88" s="57">
        <v>4185</v>
      </c>
      <c r="H88" s="68">
        <v>80</v>
      </c>
      <c r="I88" s="51">
        <v>90486.486486486479</v>
      </c>
      <c r="J88" s="57">
        <v>1020</v>
      </c>
      <c r="K88" s="68">
        <v>80</v>
      </c>
      <c r="L88" s="51">
        <v>22054.054054054053</v>
      </c>
      <c r="M88" s="50">
        <v>207999.99999999997</v>
      </c>
      <c r="O88" s="110"/>
      <c r="R88" s="75"/>
      <c r="S88" s="75"/>
    </row>
    <row r="89" spans="1:19" hidden="1" outlineLevel="1" x14ac:dyDescent="0.45">
      <c r="A89" s="65"/>
      <c r="B89" s="66" t="s">
        <v>89</v>
      </c>
      <c r="C89" s="66">
        <v>0</v>
      </c>
      <c r="D89" s="57">
        <v>0</v>
      </c>
      <c r="E89" s="68">
        <v>80</v>
      </c>
      <c r="F89" s="51">
        <v>0</v>
      </c>
      <c r="G89" s="57">
        <v>0</v>
      </c>
      <c r="H89" s="68">
        <v>80</v>
      </c>
      <c r="I89" s="51">
        <v>0</v>
      </c>
      <c r="J89" s="57">
        <v>0</v>
      </c>
      <c r="K89" s="68">
        <v>80</v>
      </c>
      <c r="L89" s="51">
        <v>0</v>
      </c>
      <c r="M89" s="50">
        <v>0</v>
      </c>
      <c r="O89" s="110"/>
      <c r="R89" s="75"/>
      <c r="S89" s="75"/>
    </row>
    <row r="90" spans="1:19" hidden="1" outlineLevel="1" x14ac:dyDescent="0.45">
      <c r="A90" s="65"/>
      <c r="B90" s="66" t="s">
        <v>90</v>
      </c>
      <c r="C90" s="66">
        <v>0</v>
      </c>
      <c r="D90" s="57">
        <v>0</v>
      </c>
      <c r="E90" s="68">
        <v>80</v>
      </c>
      <c r="F90" s="51">
        <v>0</v>
      </c>
      <c r="G90" s="57">
        <v>0</v>
      </c>
      <c r="H90" s="68">
        <v>80</v>
      </c>
      <c r="I90" s="51">
        <v>0</v>
      </c>
      <c r="J90" s="57">
        <v>0</v>
      </c>
      <c r="K90" s="68">
        <v>80</v>
      </c>
      <c r="L90" s="51">
        <v>0</v>
      </c>
      <c r="M90" s="50">
        <v>0</v>
      </c>
      <c r="O90" s="110"/>
      <c r="R90" s="75"/>
      <c r="S90" s="75"/>
    </row>
    <row r="91" spans="1:19" hidden="1" outlineLevel="1" x14ac:dyDescent="0.45">
      <c r="A91" s="65"/>
      <c r="B91" s="66" t="s">
        <v>91</v>
      </c>
      <c r="C91" s="66">
        <v>16</v>
      </c>
      <c r="D91" s="57">
        <v>3532</v>
      </c>
      <c r="E91" s="68">
        <v>80</v>
      </c>
      <c r="F91" s="51">
        <v>76367.567567567559</v>
      </c>
      <c r="G91" s="57">
        <v>3348</v>
      </c>
      <c r="H91" s="68">
        <v>80</v>
      </c>
      <c r="I91" s="51">
        <v>72389.189189189186</v>
      </c>
      <c r="J91" s="71">
        <v>816</v>
      </c>
      <c r="K91" s="68">
        <v>80</v>
      </c>
      <c r="L91" s="51">
        <v>17643.243243243243</v>
      </c>
      <c r="M91" s="50">
        <v>166400</v>
      </c>
      <c r="O91" s="110"/>
      <c r="R91" s="75"/>
      <c r="S91" s="75"/>
    </row>
    <row r="92" spans="1:19" hidden="1" outlineLevel="1" x14ac:dyDescent="0.45">
      <c r="A92" s="65"/>
      <c r="B92" s="66" t="s">
        <v>92</v>
      </c>
      <c r="C92" s="66">
        <v>1</v>
      </c>
      <c r="D92" s="57">
        <v>220.75</v>
      </c>
      <c r="E92" s="68">
        <v>80</v>
      </c>
      <c r="F92" s="51">
        <v>4772.9729729729725</v>
      </c>
      <c r="G92" s="57">
        <v>209.25</v>
      </c>
      <c r="H92" s="68">
        <v>80</v>
      </c>
      <c r="I92" s="51">
        <v>4524.3243243243242</v>
      </c>
      <c r="J92" s="57">
        <v>51</v>
      </c>
      <c r="K92" s="68">
        <v>80</v>
      </c>
      <c r="L92" s="51">
        <v>1102.7027027027027</v>
      </c>
      <c r="M92" s="50">
        <v>10400</v>
      </c>
      <c r="O92" s="110"/>
      <c r="R92" s="75"/>
      <c r="S92" s="75"/>
    </row>
    <row r="93" spans="1:19" hidden="1" outlineLevel="1" x14ac:dyDescent="0.45">
      <c r="A93" s="65"/>
      <c r="B93" s="66" t="s">
        <v>93</v>
      </c>
      <c r="C93" s="66">
        <v>0.7</v>
      </c>
      <c r="D93" s="57">
        <v>154.52499999999998</v>
      </c>
      <c r="E93" s="68">
        <v>80</v>
      </c>
      <c r="F93" s="51">
        <v>3341.0810810810804</v>
      </c>
      <c r="G93" s="57">
        <v>146.47499999999999</v>
      </c>
      <c r="H93" s="68">
        <v>80</v>
      </c>
      <c r="I93" s="51">
        <v>3167.0270270270271</v>
      </c>
      <c r="J93" s="57">
        <v>35.699999999999996</v>
      </c>
      <c r="K93" s="68">
        <v>80</v>
      </c>
      <c r="L93" s="51">
        <v>771.89189189189176</v>
      </c>
      <c r="M93" s="50">
        <v>7279.9999999999991</v>
      </c>
      <c r="O93" s="110"/>
      <c r="R93" s="75"/>
      <c r="S93" s="75"/>
    </row>
    <row r="94" spans="1:19" hidden="1" outlineLevel="1" x14ac:dyDescent="0.45">
      <c r="A94" s="65"/>
      <c r="B94" s="66" t="s">
        <v>94</v>
      </c>
      <c r="C94" s="66">
        <v>6</v>
      </c>
      <c r="D94" s="57">
        <v>1324.5</v>
      </c>
      <c r="E94" s="68">
        <v>80</v>
      </c>
      <c r="F94" s="51">
        <v>28637.837837837837</v>
      </c>
      <c r="G94" s="57">
        <v>1255.5</v>
      </c>
      <c r="H94" s="68">
        <v>80</v>
      </c>
      <c r="I94" s="51">
        <v>27145.945945945943</v>
      </c>
      <c r="J94" s="57">
        <v>306</v>
      </c>
      <c r="K94" s="68">
        <v>80</v>
      </c>
      <c r="L94" s="51">
        <v>6616.2162162162158</v>
      </c>
      <c r="M94" s="50">
        <v>62399.999999999993</v>
      </c>
      <c r="O94" s="110"/>
      <c r="R94" s="75"/>
      <c r="S94" s="75"/>
    </row>
    <row r="95" spans="1:19" hidden="1" outlineLevel="1" x14ac:dyDescent="0.45">
      <c r="A95" s="65"/>
      <c r="B95" s="66" t="s">
        <v>95</v>
      </c>
      <c r="C95" s="66">
        <v>19.5</v>
      </c>
      <c r="D95" s="57">
        <v>4304.625</v>
      </c>
      <c r="E95" s="68">
        <v>80</v>
      </c>
      <c r="F95" s="51">
        <v>93072.972972972973</v>
      </c>
      <c r="G95" s="57">
        <v>4080.375</v>
      </c>
      <c r="H95" s="68">
        <v>80</v>
      </c>
      <c r="I95" s="51">
        <v>88224.32432432432</v>
      </c>
      <c r="J95" s="57">
        <v>994.5</v>
      </c>
      <c r="K95" s="68">
        <v>80</v>
      </c>
      <c r="L95" s="51">
        <v>21502.702702702703</v>
      </c>
      <c r="M95" s="50">
        <v>202799.99999999997</v>
      </c>
      <c r="O95" s="110"/>
      <c r="R95" s="75"/>
      <c r="S95" s="75"/>
    </row>
    <row r="96" spans="1:19" hidden="1" outlineLevel="1" x14ac:dyDescent="0.45">
      <c r="A96" s="65"/>
      <c r="B96" s="66" t="s">
        <v>96</v>
      </c>
      <c r="C96" s="66">
        <v>12</v>
      </c>
      <c r="D96" s="57">
        <v>2649</v>
      </c>
      <c r="E96" s="68">
        <v>80</v>
      </c>
      <c r="F96" s="51">
        <v>57275.675675675673</v>
      </c>
      <c r="G96" s="57">
        <v>2511</v>
      </c>
      <c r="H96" s="68">
        <v>80</v>
      </c>
      <c r="I96" s="51">
        <v>54291.891891891886</v>
      </c>
      <c r="J96" s="57">
        <v>612</v>
      </c>
      <c r="K96" s="68">
        <v>80</v>
      </c>
      <c r="L96" s="51">
        <v>13232.432432432432</v>
      </c>
      <c r="M96" s="50">
        <v>124799.99999999999</v>
      </c>
      <c r="O96" s="110"/>
      <c r="R96" s="75"/>
      <c r="S96" s="75"/>
    </row>
    <row r="97" spans="1:20" hidden="1" outlineLevel="1" x14ac:dyDescent="0.45">
      <c r="A97" s="65"/>
      <c r="B97" s="66" t="s">
        <v>97</v>
      </c>
      <c r="C97" s="66">
        <v>0.5</v>
      </c>
      <c r="D97" s="57">
        <v>110.375</v>
      </c>
      <c r="E97" s="68">
        <v>80</v>
      </c>
      <c r="F97" s="51">
        <v>2386.4864864864862</v>
      </c>
      <c r="G97" s="57">
        <v>104.625</v>
      </c>
      <c r="H97" s="68">
        <v>80</v>
      </c>
      <c r="I97" s="51">
        <v>2262.1621621621621</v>
      </c>
      <c r="J97" s="57">
        <v>25.5</v>
      </c>
      <c r="K97" s="68">
        <v>80</v>
      </c>
      <c r="L97" s="51">
        <v>551.35135135135135</v>
      </c>
      <c r="M97" s="50">
        <v>5200</v>
      </c>
      <c r="O97" s="110"/>
      <c r="R97" s="75"/>
      <c r="S97" s="75"/>
    </row>
    <row r="98" spans="1:20" hidden="1" outlineLevel="1" x14ac:dyDescent="0.45">
      <c r="A98" s="65"/>
      <c r="B98" s="66" t="s">
        <v>98</v>
      </c>
      <c r="C98" s="66">
        <v>1</v>
      </c>
      <c r="D98" s="57">
        <v>220.75</v>
      </c>
      <c r="E98" s="68">
        <v>80</v>
      </c>
      <c r="F98" s="51">
        <v>4772.9729729729725</v>
      </c>
      <c r="G98" s="57">
        <v>209.25</v>
      </c>
      <c r="H98" s="68">
        <v>80</v>
      </c>
      <c r="I98" s="51">
        <v>4524.3243243243242</v>
      </c>
      <c r="J98" s="57">
        <v>51</v>
      </c>
      <c r="K98" s="68">
        <v>80</v>
      </c>
      <c r="L98" s="51">
        <v>1102.7027027027027</v>
      </c>
      <c r="M98" s="50">
        <v>10400</v>
      </c>
      <c r="O98" s="110"/>
      <c r="R98" s="75"/>
      <c r="S98" s="75"/>
    </row>
    <row r="99" spans="1:20" hidden="1" outlineLevel="1" x14ac:dyDescent="0.45">
      <c r="A99" s="65"/>
      <c r="B99" s="66" t="s">
        <v>99</v>
      </c>
      <c r="C99" s="66">
        <v>0</v>
      </c>
      <c r="D99" s="57">
        <v>0</v>
      </c>
      <c r="E99" s="68">
        <v>80</v>
      </c>
      <c r="F99" s="51">
        <v>0</v>
      </c>
      <c r="G99" s="57">
        <v>0</v>
      </c>
      <c r="H99" s="68">
        <v>80</v>
      </c>
      <c r="I99" s="51">
        <v>0</v>
      </c>
      <c r="J99" s="57">
        <v>0</v>
      </c>
      <c r="K99" s="68">
        <v>80</v>
      </c>
      <c r="L99" s="51">
        <v>0</v>
      </c>
      <c r="M99" s="50">
        <v>0</v>
      </c>
      <c r="O99" s="110"/>
      <c r="R99" s="75"/>
      <c r="S99" s="75"/>
    </row>
    <row r="100" spans="1:20" hidden="1" outlineLevel="1" x14ac:dyDescent="0.45">
      <c r="A100" s="65"/>
      <c r="B100" s="66" t="s">
        <v>100</v>
      </c>
      <c r="C100" s="66">
        <v>1</v>
      </c>
      <c r="D100" s="57">
        <v>220.75</v>
      </c>
      <c r="E100" s="68">
        <v>80</v>
      </c>
      <c r="F100" s="51">
        <v>4772.9729729729725</v>
      </c>
      <c r="G100" s="57">
        <v>209.25</v>
      </c>
      <c r="H100" s="68">
        <v>80</v>
      </c>
      <c r="I100" s="51">
        <v>4524.3243243243242</v>
      </c>
      <c r="J100" s="57">
        <v>51</v>
      </c>
      <c r="K100" s="68">
        <v>80</v>
      </c>
      <c r="L100" s="51">
        <v>1102.7027027027027</v>
      </c>
      <c r="M100" s="50">
        <v>10400</v>
      </c>
      <c r="O100" s="110"/>
      <c r="R100" s="75"/>
      <c r="S100" s="75"/>
    </row>
    <row r="101" spans="1:20" ht="3" customHeight="1" collapsed="1" x14ac:dyDescent="0.45">
      <c r="A101" s="43"/>
      <c r="B101" s="97"/>
      <c r="C101" s="74"/>
      <c r="J101" s="2"/>
      <c r="K101" s="2"/>
      <c r="M101" s="5"/>
      <c r="O101" s="75"/>
      <c r="Q101" s="6">
        <f t="shared" ref="Q101" si="18">L101/22</f>
        <v>0</v>
      </c>
    </row>
    <row r="102" spans="1:20" x14ac:dyDescent="0.45">
      <c r="A102" s="46" t="s">
        <v>69</v>
      </c>
      <c r="B102" s="47" t="s">
        <v>101</v>
      </c>
      <c r="C102" s="66"/>
      <c r="D102" s="76"/>
      <c r="E102" s="76"/>
      <c r="F102" s="51">
        <v>134247.2135135135</v>
      </c>
      <c r="G102" s="76"/>
      <c r="H102" s="76"/>
      <c r="I102" s="51">
        <v>139177.97094594594</v>
      </c>
      <c r="J102" s="76"/>
      <c r="K102" s="76"/>
      <c r="L102" s="51">
        <v>30480.464864864862</v>
      </c>
      <c r="M102" s="51">
        <v>303905.64932432433</v>
      </c>
      <c r="N102" s="59"/>
      <c r="O102" s="53">
        <f>(F102+I102)/$O$2/1.18</f>
        <v>538.87501864300248</v>
      </c>
      <c r="P102" s="53"/>
      <c r="Q102" s="53">
        <f>+L102/$O$1/1.18</f>
        <v>506.48828289905055</v>
      </c>
      <c r="R102" s="53">
        <f>O102*$O$2</f>
        <v>231716.25801649108</v>
      </c>
      <c r="S102" s="53">
        <f>Q102*$O$1</f>
        <v>25830.902427851579</v>
      </c>
    </row>
    <row r="103" spans="1:20" outlineLevel="1" x14ac:dyDescent="0.45">
      <c r="A103" s="65"/>
      <c r="B103" s="111" t="s">
        <v>68</v>
      </c>
      <c r="C103" s="66"/>
      <c r="D103" s="76">
        <v>220.75</v>
      </c>
      <c r="E103" s="50">
        <v>141.89189189189187</v>
      </c>
      <c r="F103" s="51">
        <v>31322.63513513513</v>
      </c>
      <c r="G103" s="76">
        <v>209.25</v>
      </c>
      <c r="H103" s="50">
        <v>141.89189189189187</v>
      </c>
      <c r="I103" s="51">
        <v>29690.878378378373</v>
      </c>
      <c r="J103" s="76">
        <v>51</v>
      </c>
      <c r="K103" s="50">
        <v>141.89189189189187</v>
      </c>
      <c r="L103" s="51">
        <v>7236.4864864864858</v>
      </c>
      <c r="M103" s="50">
        <v>68250</v>
      </c>
      <c r="O103" s="75">
        <f t="shared" ref="O103:O105" si="19">(F103+I103)/$O$2/1.18</f>
        <v>120.24736601007787</v>
      </c>
      <c r="P103" s="75"/>
      <c r="Q103" s="75">
        <f t="shared" ref="Q103:Q105" si="20">+L103/$O$1/1.18</f>
        <v>120.24736601007787</v>
      </c>
      <c r="R103" s="75">
        <f t="shared" ref="R103:R105" si="21">O103*$O$2</f>
        <v>51706.367384333484</v>
      </c>
      <c r="S103" s="75">
        <f t="shared" ref="S103:S105" si="22">Q103*$O$1</f>
        <v>6132.6156665139715</v>
      </c>
    </row>
    <row r="104" spans="1:20" outlineLevel="1" x14ac:dyDescent="0.45">
      <c r="A104" s="65"/>
      <c r="B104" s="111" t="s">
        <v>102</v>
      </c>
      <c r="C104" s="66"/>
      <c r="D104" s="76">
        <v>20</v>
      </c>
      <c r="E104" s="50">
        <v>204.05405405405403</v>
      </c>
      <c r="F104" s="51">
        <v>4081.0810810810808</v>
      </c>
      <c r="G104" s="76">
        <v>20</v>
      </c>
      <c r="H104" s="50">
        <v>204.05405405405403</v>
      </c>
      <c r="I104" s="51">
        <v>4081.0810810810808</v>
      </c>
      <c r="J104" s="76">
        <v>2</v>
      </c>
      <c r="K104" s="50">
        <v>204.05405405405403</v>
      </c>
      <c r="L104" s="51">
        <v>408.10810810810807</v>
      </c>
      <c r="M104" s="50">
        <v>8570.27027027027</v>
      </c>
      <c r="O104" s="75">
        <f t="shared" si="19"/>
        <v>16.086247856054715</v>
      </c>
      <c r="P104" s="75"/>
      <c r="Q104" s="75">
        <f t="shared" si="20"/>
        <v>6.7814574295132619</v>
      </c>
      <c r="R104" s="75">
        <f t="shared" si="21"/>
        <v>6917.0865781035272</v>
      </c>
      <c r="S104" s="75">
        <f t="shared" si="22"/>
        <v>345.85432890517637</v>
      </c>
    </row>
    <row r="105" spans="1:20" s="119" customFormat="1" outlineLevel="1" x14ac:dyDescent="0.45">
      <c r="A105" s="112"/>
      <c r="B105" s="113" t="s">
        <v>103</v>
      </c>
      <c r="C105" s="114"/>
      <c r="D105" s="115">
        <v>1766</v>
      </c>
      <c r="E105" s="116">
        <v>55.970270270270262</v>
      </c>
      <c r="F105" s="117">
        <v>98843.49729729729</v>
      </c>
      <c r="G105" s="118">
        <v>1883.25</v>
      </c>
      <c r="H105" s="64">
        <v>55.970270270270262</v>
      </c>
      <c r="I105" s="117">
        <v>105406.01148648647</v>
      </c>
      <c r="J105" s="115">
        <v>408</v>
      </c>
      <c r="K105" s="64">
        <v>55.970270270270262</v>
      </c>
      <c r="L105" s="117">
        <v>22835.870270270269</v>
      </c>
      <c r="M105" s="116">
        <v>227085.37905405404</v>
      </c>
      <c r="O105" s="120">
        <f t="shared" si="19"/>
        <v>402.54140477686985</v>
      </c>
      <c r="P105" s="120"/>
      <c r="Q105" s="120">
        <f t="shared" si="20"/>
        <v>379.45945945945948</v>
      </c>
      <c r="R105" s="120">
        <f t="shared" si="21"/>
        <v>173092.80405405402</v>
      </c>
      <c r="S105" s="120">
        <f t="shared" si="22"/>
        <v>19352.432432432433</v>
      </c>
      <c r="T105" s="121"/>
    </row>
    <row r="106" spans="1:20" ht="5.0999999999999996" customHeight="1" x14ac:dyDescent="0.45">
      <c r="A106" s="43"/>
      <c r="B106" s="97"/>
      <c r="C106" s="74"/>
      <c r="J106" s="2"/>
      <c r="K106" s="2"/>
      <c r="M106" s="62"/>
      <c r="O106" s="75"/>
      <c r="Q106" s="6">
        <f>L106/22</f>
        <v>0</v>
      </c>
      <c r="R106" s="122">
        <f>O106*O6</f>
        <v>0</v>
      </c>
      <c r="S106" s="122" t="e">
        <f>Q106*O5</f>
        <v>#VALUE!</v>
      </c>
    </row>
    <row r="107" spans="1:20" x14ac:dyDescent="0.45">
      <c r="A107" s="46" t="s">
        <v>104</v>
      </c>
      <c r="B107" s="47" t="s">
        <v>105</v>
      </c>
      <c r="C107" s="123"/>
      <c r="D107" s="76">
        <v>264900</v>
      </c>
      <c r="E107" s="68">
        <v>0.1</v>
      </c>
      <c r="F107" s="51">
        <v>26490</v>
      </c>
      <c r="G107" s="76">
        <v>272025</v>
      </c>
      <c r="H107" s="68">
        <v>0.1</v>
      </c>
      <c r="I107" s="51">
        <v>27202.5</v>
      </c>
      <c r="J107" s="76">
        <v>61200</v>
      </c>
      <c r="K107" s="68">
        <v>0.1</v>
      </c>
      <c r="L107" s="51">
        <v>6120</v>
      </c>
      <c r="M107" s="51">
        <v>59812.5</v>
      </c>
      <c r="N107" s="52"/>
      <c r="O107" s="53">
        <f>(F107+I107)/O2</f>
        <v>124.86627906976744</v>
      </c>
      <c r="P107" s="53"/>
      <c r="Q107" s="53">
        <f>L107/O1</f>
        <v>120</v>
      </c>
      <c r="R107" s="53">
        <f>O107*O2</f>
        <v>53692.5</v>
      </c>
      <c r="S107" s="53">
        <f>Q107*O1</f>
        <v>6120</v>
      </c>
    </row>
    <row r="108" spans="1:20" ht="5.25" customHeight="1" x14ac:dyDescent="0.45">
      <c r="A108" s="65"/>
      <c r="B108" s="124"/>
      <c r="C108" s="123"/>
      <c r="D108" s="76"/>
      <c r="E108" s="68"/>
      <c r="F108" s="51"/>
      <c r="G108" s="76"/>
      <c r="H108" s="68"/>
      <c r="I108" s="51"/>
      <c r="J108" s="76"/>
      <c r="K108" s="68"/>
      <c r="L108" s="51"/>
      <c r="M108" s="51"/>
      <c r="O108" s="53"/>
      <c r="P108" s="53"/>
      <c r="Q108" s="53"/>
      <c r="R108" s="53"/>
      <c r="S108" s="53"/>
      <c r="T108" s="75"/>
    </row>
    <row r="109" spans="1:20" x14ac:dyDescent="0.45">
      <c r="A109" s="125" t="s">
        <v>106</v>
      </c>
      <c r="B109" s="126" t="s">
        <v>70</v>
      </c>
      <c r="C109" s="127"/>
      <c r="D109" s="52"/>
      <c r="E109" s="128"/>
      <c r="F109" s="129"/>
      <c r="G109" s="52"/>
      <c r="H109" s="128"/>
      <c r="I109" s="129"/>
      <c r="J109" s="52"/>
      <c r="K109" s="128"/>
      <c r="L109" s="129"/>
      <c r="M109" s="129">
        <f>+M110</f>
        <v>28800</v>
      </c>
      <c r="O109" s="53">
        <f>+M109/M8</f>
        <v>59.875259875259879</v>
      </c>
      <c r="P109" s="53"/>
      <c r="Q109" s="53">
        <f>+M109/M8</f>
        <v>59.875259875259879</v>
      </c>
      <c r="R109" s="130">
        <f>+O109*O2</f>
        <v>25746.361746361748</v>
      </c>
      <c r="S109" s="53">
        <f>+Q109*O1</f>
        <v>3053.6382536382539</v>
      </c>
      <c r="T109" s="75"/>
    </row>
    <row r="110" spans="1:20" x14ac:dyDescent="0.45">
      <c r="A110" s="65"/>
      <c r="B110" s="111" t="s">
        <v>107</v>
      </c>
      <c r="C110" s="66"/>
      <c r="D110" s="76">
        <v>12</v>
      </c>
      <c r="E110" s="49">
        <v>2400</v>
      </c>
      <c r="F110" s="89"/>
      <c r="G110" s="76"/>
      <c r="H110" s="76"/>
      <c r="I110" s="89"/>
      <c r="J110" s="89"/>
      <c r="K110" s="89"/>
      <c r="L110" s="89"/>
      <c r="M110" s="50">
        <v>28800</v>
      </c>
      <c r="O110" s="75"/>
      <c r="P110" s="75"/>
      <c r="Q110" s="75"/>
      <c r="R110" s="75"/>
      <c r="S110" s="75"/>
      <c r="T110" s="75"/>
    </row>
    <row r="111" spans="1:20" hidden="1" x14ac:dyDescent="0.45">
      <c r="A111" s="65"/>
      <c r="B111" s="124"/>
      <c r="C111" s="123"/>
      <c r="D111" s="76"/>
      <c r="E111" s="68"/>
      <c r="F111" s="51"/>
      <c r="G111" s="76"/>
      <c r="H111" s="68"/>
      <c r="I111" s="51"/>
      <c r="J111" s="76"/>
      <c r="K111" s="68"/>
      <c r="L111" s="51"/>
      <c r="M111" s="51"/>
      <c r="O111" s="75"/>
      <c r="P111" s="75"/>
      <c r="Q111" s="75"/>
      <c r="R111" s="75"/>
      <c r="S111" s="75"/>
      <c r="T111" s="75"/>
    </row>
    <row r="112" spans="1:20" ht="3.75" customHeight="1" x14ac:dyDescent="0.45">
      <c r="A112" s="65"/>
      <c r="B112" s="124"/>
      <c r="C112" s="66"/>
      <c r="D112" s="76"/>
      <c r="E112" s="76"/>
      <c r="F112" s="89"/>
      <c r="G112" s="76"/>
      <c r="H112" s="76"/>
      <c r="I112" s="89"/>
      <c r="J112" s="76"/>
      <c r="K112" s="76"/>
      <c r="L112" s="89"/>
      <c r="M112" s="89"/>
      <c r="O112" s="75"/>
      <c r="Q112" s="6">
        <f>L112/22</f>
        <v>0</v>
      </c>
    </row>
    <row r="113" spans="1:80" ht="3.6" customHeight="1" thickBot="1" x14ac:dyDescent="0.5">
      <c r="A113" s="65"/>
      <c r="B113" s="66"/>
      <c r="C113" s="66"/>
      <c r="D113" s="76"/>
      <c r="E113" s="76"/>
      <c r="F113" s="89"/>
      <c r="G113" s="76"/>
      <c r="H113" s="76"/>
      <c r="I113" s="89"/>
      <c r="J113" s="89"/>
      <c r="K113" s="76"/>
      <c r="L113" s="89"/>
      <c r="M113" s="50"/>
      <c r="Q113" s="6">
        <f>L113/22</f>
        <v>0</v>
      </c>
    </row>
    <row r="114" spans="1:80" ht="25.5" customHeight="1" thickBot="1" x14ac:dyDescent="0.5">
      <c r="A114" s="34" t="s">
        <v>108</v>
      </c>
      <c r="B114" s="35" t="s">
        <v>109</v>
      </c>
      <c r="C114" s="35"/>
      <c r="D114" s="131"/>
      <c r="E114" s="131"/>
      <c r="F114" s="38">
        <v>228220.70270270269</v>
      </c>
      <c r="G114" s="38"/>
      <c r="H114" s="38"/>
      <c r="I114" s="38">
        <v>219966.42162162162</v>
      </c>
      <c r="J114" s="38"/>
      <c r="K114" s="38"/>
      <c r="L114" s="38">
        <v>49537.102702702701</v>
      </c>
      <c r="M114" s="38">
        <v>497724.22702702699</v>
      </c>
      <c r="N114" s="39"/>
      <c r="O114" s="132">
        <f>O115+O116+O117+O118+O119+O120+O121+O122+O123</f>
        <v>1034.7559117630988</v>
      </c>
      <c r="P114" s="133"/>
      <c r="Q114" s="132">
        <f>Q115+Q116+Q117+Q118+Q119+Q120+Q121+Q122+Q123</f>
        <v>966.95468140725882</v>
      </c>
      <c r="R114" s="132">
        <f>O114*O2</f>
        <v>444945.04205813247</v>
      </c>
      <c r="S114" s="132">
        <f>Q114*O1</f>
        <v>49314.688751770198</v>
      </c>
      <c r="T114" s="134"/>
    </row>
    <row r="115" spans="1:80" outlineLevel="1" x14ac:dyDescent="0.45">
      <c r="A115" s="135"/>
      <c r="B115" s="111" t="s">
        <v>110</v>
      </c>
      <c r="C115" s="66"/>
      <c r="D115" s="76">
        <v>19</v>
      </c>
      <c r="E115" s="76">
        <v>315.72972972972974</v>
      </c>
      <c r="F115" s="51">
        <v>5998.864864864865</v>
      </c>
      <c r="G115" s="76">
        <v>15</v>
      </c>
      <c r="H115" s="76">
        <v>315.72972972972974</v>
      </c>
      <c r="I115" s="51">
        <v>4735.9459459459458</v>
      </c>
      <c r="J115" s="76">
        <v>2</v>
      </c>
      <c r="K115" s="76">
        <v>315.72972972972974</v>
      </c>
      <c r="L115" s="51">
        <v>631.45945945945948</v>
      </c>
      <c r="M115" s="50">
        <v>11366.27027027027</v>
      </c>
      <c r="O115" s="136">
        <f>(F115+I115)/$O$2/1.18</f>
        <v>21.156505342551853</v>
      </c>
      <c r="Q115" s="137">
        <f>(H115+K115)/$O$1/1.18</f>
        <v>10.492845786963436</v>
      </c>
      <c r="R115" s="110">
        <f t="shared" ref="R115:R124" si="23">O115*343</f>
        <v>7256.6813324952855</v>
      </c>
      <c r="S115" s="110">
        <f t="shared" ref="S115:S124" si="24">Q115*22</f>
        <v>230.84260731319557</v>
      </c>
      <c r="T115" s="134"/>
    </row>
    <row r="116" spans="1:80" outlineLevel="1" x14ac:dyDescent="0.45">
      <c r="A116" s="135"/>
      <c r="B116" s="111" t="s">
        <v>111</v>
      </c>
      <c r="C116" s="66">
        <v>30</v>
      </c>
      <c r="D116" s="49">
        <v>220.75</v>
      </c>
      <c r="E116" s="68">
        <v>80</v>
      </c>
      <c r="F116" s="51">
        <v>143189.18918918917</v>
      </c>
      <c r="G116" s="49">
        <v>209.25</v>
      </c>
      <c r="H116" s="68">
        <v>80</v>
      </c>
      <c r="I116" s="51">
        <v>135729.72972972973</v>
      </c>
      <c r="J116" s="49">
        <v>51</v>
      </c>
      <c r="K116" s="68">
        <v>80</v>
      </c>
      <c r="L116" s="51">
        <v>33081.08108108108</v>
      </c>
      <c r="M116" s="138">
        <v>312000</v>
      </c>
      <c r="O116" s="136">
        <f>(F116+I116)/O2</f>
        <v>648.64864864864865</v>
      </c>
      <c r="Q116" s="139">
        <f>L116/O1</f>
        <v>648.64864864864865</v>
      </c>
      <c r="R116" s="110">
        <f t="shared" si="23"/>
        <v>222486.48648648648</v>
      </c>
      <c r="S116" s="110">
        <f t="shared" si="24"/>
        <v>14270.27027027027</v>
      </c>
      <c r="T116" s="134"/>
    </row>
    <row r="117" spans="1:80" outlineLevel="1" x14ac:dyDescent="0.45">
      <c r="A117" s="135"/>
      <c r="B117" s="113" t="s">
        <v>112</v>
      </c>
      <c r="C117" s="114"/>
      <c r="D117" s="115"/>
      <c r="E117" s="64">
        <v>16</v>
      </c>
      <c r="F117" s="117">
        <v>3532</v>
      </c>
      <c r="G117" s="115"/>
      <c r="H117" s="64">
        <v>16</v>
      </c>
      <c r="I117" s="117">
        <v>3348</v>
      </c>
      <c r="J117" s="115"/>
      <c r="K117" s="64">
        <v>16</v>
      </c>
      <c r="L117" s="117">
        <v>816</v>
      </c>
      <c r="M117" s="116">
        <v>7696</v>
      </c>
      <c r="N117" s="119"/>
      <c r="O117" s="140">
        <f>(F117+I117)/O2/1.18</f>
        <v>13.559322033898306</v>
      </c>
      <c r="P117" s="141"/>
      <c r="Q117" s="140">
        <f>L117/O1/1.18</f>
        <v>13.559322033898306</v>
      </c>
      <c r="R117" s="142">
        <f t="shared" si="23"/>
        <v>4650.8474576271192</v>
      </c>
      <c r="S117" s="142">
        <f t="shared" si="24"/>
        <v>298.30508474576271</v>
      </c>
      <c r="T117" s="134"/>
      <c r="CA117" s="2">
        <f>5800/365</f>
        <v>15.890410958904109</v>
      </c>
      <c r="CB117" s="143"/>
    </row>
    <row r="118" spans="1:80" outlineLevel="1" x14ac:dyDescent="0.45">
      <c r="A118" s="135"/>
      <c r="B118" s="111" t="s">
        <v>113</v>
      </c>
      <c r="C118" s="66"/>
      <c r="D118" s="76">
        <v>441.5</v>
      </c>
      <c r="E118" s="68">
        <v>31.891891891891891</v>
      </c>
      <c r="F118" s="51">
        <v>14080.27027027027</v>
      </c>
      <c r="G118" s="144">
        <v>460.35</v>
      </c>
      <c r="H118" s="68">
        <v>31.891891891891891</v>
      </c>
      <c r="I118" s="51">
        <v>14681.432432432433</v>
      </c>
      <c r="J118" s="144">
        <v>91.8</v>
      </c>
      <c r="K118" s="68">
        <v>31.891891891891891</v>
      </c>
      <c r="L118" s="51">
        <v>2927.6756756756754</v>
      </c>
      <c r="M118" s="50">
        <v>31689.37837837838</v>
      </c>
      <c r="O118" s="136">
        <f>(F118+I118)/O2</f>
        <v>66.887680703959774</v>
      </c>
      <c r="Q118" s="137">
        <f>L118/O1</f>
        <v>57.405405405405396</v>
      </c>
      <c r="R118" s="110">
        <f t="shared" si="23"/>
        <v>22942.474481458201</v>
      </c>
      <c r="S118" s="110">
        <f t="shared" si="24"/>
        <v>1262.9189189189187</v>
      </c>
      <c r="T118" s="134"/>
      <c r="CB118" s="143"/>
    </row>
    <row r="119" spans="1:80" outlineLevel="1" x14ac:dyDescent="0.45">
      <c r="A119" s="135"/>
      <c r="B119" s="111" t="s">
        <v>114</v>
      </c>
      <c r="C119" s="66">
        <v>2</v>
      </c>
      <c r="D119" s="76">
        <v>19</v>
      </c>
      <c r="E119" s="76">
        <v>480</v>
      </c>
      <c r="F119" s="51">
        <v>4929.7297297297291</v>
      </c>
      <c r="G119" s="57">
        <v>15</v>
      </c>
      <c r="H119" s="76">
        <v>480</v>
      </c>
      <c r="I119" s="51">
        <v>3891.8918918918916</v>
      </c>
      <c r="J119" s="57">
        <v>2</v>
      </c>
      <c r="K119" s="76">
        <v>480</v>
      </c>
      <c r="L119" s="51">
        <v>518.91891891891885</v>
      </c>
      <c r="M119" s="50">
        <v>9340.5405405405381</v>
      </c>
      <c r="O119" s="136">
        <f>(F119+I119)/343</f>
        <v>25.71901347411551</v>
      </c>
      <c r="Q119" s="139">
        <f>L119/O1</f>
        <v>10.174880763116056</v>
      </c>
      <c r="R119" s="110">
        <f t="shared" si="23"/>
        <v>8821.6216216216199</v>
      </c>
      <c r="S119" s="110">
        <f t="shared" si="24"/>
        <v>223.84737678855322</v>
      </c>
      <c r="T119" s="134"/>
      <c r="CB119" s="143"/>
    </row>
    <row r="120" spans="1:80" outlineLevel="1" x14ac:dyDescent="0.45">
      <c r="A120" s="135"/>
      <c r="B120" s="111" t="s">
        <v>115</v>
      </c>
      <c r="C120" s="66">
        <v>1080</v>
      </c>
      <c r="D120" s="49">
        <v>476820</v>
      </c>
      <c r="E120" s="76">
        <v>0.1</v>
      </c>
      <c r="F120" s="51">
        <v>47682</v>
      </c>
      <c r="G120" s="49">
        <v>497178</v>
      </c>
      <c r="H120" s="76">
        <v>0.1</v>
      </c>
      <c r="I120" s="51">
        <v>49717.8</v>
      </c>
      <c r="J120" s="76">
        <v>99144</v>
      </c>
      <c r="K120" s="76">
        <v>0.1</v>
      </c>
      <c r="L120" s="51">
        <v>9914.4000000000015</v>
      </c>
      <c r="M120" s="50">
        <v>107314.20000000001</v>
      </c>
      <c r="O120" s="136">
        <f>(F120+I120)/O2</f>
        <v>226.51116279069768</v>
      </c>
      <c r="Q120" s="139">
        <f>L120/O1</f>
        <v>194.40000000000003</v>
      </c>
      <c r="R120" s="110">
        <f t="shared" si="23"/>
        <v>77693.328837209308</v>
      </c>
      <c r="S120" s="110">
        <f t="shared" si="24"/>
        <v>4276.8000000000011</v>
      </c>
      <c r="T120" s="134"/>
      <c r="CA120" s="41"/>
      <c r="CB120" s="143"/>
    </row>
    <row r="121" spans="1:80" outlineLevel="1" x14ac:dyDescent="0.45">
      <c r="A121" s="135"/>
      <c r="B121" s="111" t="s">
        <v>116</v>
      </c>
      <c r="C121" s="66"/>
      <c r="D121" s="76">
        <v>19</v>
      </c>
      <c r="E121" s="49">
        <v>162.16216216216216</v>
      </c>
      <c r="F121" s="51">
        <v>3081.0810810810813</v>
      </c>
      <c r="G121" s="76">
        <v>15</v>
      </c>
      <c r="H121" s="49">
        <v>162.16216216216216</v>
      </c>
      <c r="I121" s="51">
        <v>2432.4324324324325</v>
      </c>
      <c r="J121" s="76">
        <v>2</v>
      </c>
      <c r="K121" s="49">
        <v>162.16216216216216</v>
      </c>
      <c r="L121" s="51">
        <v>324.32432432432432</v>
      </c>
      <c r="M121" s="50">
        <v>5837.8378378378375</v>
      </c>
      <c r="O121" s="136">
        <f>M121/O3/1.18</f>
        <v>10.285488984527005</v>
      </c>
      <c r="Q121" s="139">
        <f>M121/O3/1.18</f>
        <v>10.285488984527005</v>
      </c>
      <c r="R121" s="110">
        <f t="shared" si="23"/>
        <v>3527.9227216927625</v>
      </c>
      <c r="S121" s="110">
        <f t="shared" si="24"/>
        <v>226.28075765959412</v>
      </c>
      <c r="T121" s="134"/>
    </row>
    <row r="122" spans="1:80" outlineLevel="1" x14ac:dyDescent="0.45">
      <c r="A122" s="135"/>
      <c r="B122" s="111" t="s">
        <v>117</v>
      </c>
      <c r="C122" s="66"/>
      <c r="D122" s="76">
        <v>220.75</v>
      </c>
      <c r="E122" s="49">
        <v>25.945945945945944</v>
      </c>
      <c r="F122" s="51">
        <v>5727.5675675675675</v>
      </c>
      <c r="G122" s="76">
        <v>209.25</v>
      </c>
      <c r="H122" s="49">
        <v>25.945945945945944</v>
      </c>
      <c r="I122" s="51">
        <v>5429.1891891891892</v>
      </c>
      <c r="J122" s="76">
        <v>51</v>
      </c>
      <c r="K122" s="49">
        <v>25.945945945945944</v>
      </c>
      <c r="L122" s="51">
        <v>1323.2432432432431</v>
      </c>
      <c r="M122" s="50">
        <v>12480</v>
      </c>
      <c r="O122" s="136">
        <f>(F122+I122)/O2/1.18</f>
        <v>21.988089784699955</v>
      </c>
      <c r="Q122" s="145">
        <f>L122/O1/1.18</f>
        <v>21.988089784699955</v>
      </c>
      <c r="R122" s="110">
        <f t="shared" si="23"/>
        <v>7541.9147961520848</v>
      </c>
      <c r="S122" s="110">
        <f t="shared" si="24"/>
        <v>483.73797526339899</v>
      </c>
      <c r="T122" s="134"/>
      <c r="CA122" s="2">
        <f>3500*10</f>
        <v>35000</v>
      </c>
      <c r="CB122" s="2">
        <f>+CA122/365</f>
        <v>95.890410958904113</v>
      </c>
    </row>
    <row r="123" spans="1:80" hidden="1" outlineLevel="1" x14ac:dyDescent="0.45">
      <c r="A123" s="135"/>
      <c r="B123" s="111"/>
      <c r="C123" s="66"/>
      <c r="D123" s="76"/>
      <c r="E123" s="57"/>
      <c r="F123" s="51"/>
      <c r="G123" s="76"/>
      <c r="H123" s="57"/>
      <c r="I123" s="51"/>
      <c r="J123" s="76"/>
      <c r="K123" s="57"/>
      <c r="L123" s="51"/>
      <c r="M123" s="50"/>
      <c r="O123" s="136">
        <f>(F123+I123)/343/1.18</f>
        <v>0</v>
      </c>
      <c r="Q123" s="139">
        <f>L123/22/1.18</f>
        <v>0</v>
      </c>
      <c r="R123" s="110">
        <f t="shared" si="23"/>
        <v>0</v>
      </c>
      <c r="S123" s="110">
        <f t="shared" si="24"/>
        <v>0</v>
      </c>
      <c r="T123" s="134"/>
    </row>
    <row r="124" spans="1:80" hidden="1" outlineLevel="1" x14ac:dyDescent="0.45">
      <c r="A124" s="135"/>
      <c r="B124" s="111"/>
      <c r="C124" s="66"/>
      <c r="D124" s="76"/>
      <c r="E124" s="76"/>
      <c r="F124" s="51"/>
      <c r="G124" s="76"/>
      <c r="H124" s="76"/>
      <c r="I124" s="51"/>
      <c r="J124" s="76"/>
      <c r="K124" s="76"/>
      <c r="L124" s="51"/>
      <c r="M124" s="146"/>
      <c r="O124" s="147">
        <f>(F124+I124)/343/1.18</f>
        <v>0</v>
      </c>
      <c r="Q124" s="6">
        <f>L124/22/1.18</f>
        <v>0</v>
      </c>
      <c r="R124" s="110">
        <f t="shared" si="23"/>
        <v>0</v>
      </c>
      <c r="S124" s="110">
        <f t="shared" si="24"/>
        <v>0</v>
      </c>
      <c r="T124" s="134"/>
    </row>
    <row r="125" spans="1:80" ht="3.6" customHeight="1" thickBot="1" x14ac:dyDescent="0.5">
      <c r="A125" s="65"/>
      <c r="B125" s="66"/>
      <c r="C125" s="66"/>
      <c r="D125" s="76"/>
      <c r="E125" s="76"/>
      <c r="F125" s="89"/>
      <c r="G125" s="76"/>
      <c r="H125" s="76"/>
      <c r="I125" s="89"/>
      <c r="J125" s="89"/>
      <c r="K125" s="76"/>
      <c r="L125" s="89"/>
      <c r="M125" s="50"/>
      <c r="T125" s="134"/>
    </row>
    <row r="126" spans="1:80" ht="21.75" customHeight="1" thickBot="1" x14ac:dyDescent="0.5">
      <c r="A126" s="148" t="s">
        <v>118</v>
      </c>
      <c r="B126" s="149" t="s">
        <v>119</v>
      </c>
      <c r="C126" s="149"/>
      <c r="D126" s="150"/>
      <c r="E126" s="150"/>
      <c r="F126" s="151"/>
      <c r="G126" s="150"/>
      <c r="H126" s="150"/>
      <c r="I126" s="151"/>
      <c r="J126" s="152"/>
      <c r="K126" s="152"/>
      <c r="L126" s="152"/>
      <c r="M126" s="153">
        <f>+M128+M147+M190+M213</f>
        <v>737096.35135135136</v>
      </c>
      <c r="N126" s="154"/>
      <c r="O126" s="155">
        <f>+O128+O147+O190+O213</f>
        <v>1459.8069804185241</v>
      </c>
      <c r="P126" s="155"/>
      <c r="Q126" s="155">
        <f>+Q128+Q147</f>
        <v>1056.3743889419566</v>
      </c>
      <c r="R126" s="153">
        <f>O126*343</f>
        <v>500713.79428355373</v>
      </c>
      <c r="S126" s="156">
        <f>Q126*22</f>
        <v>23240.236556723044</v>
      </c>
      <c r="T126" s="157"/>
      <c r="U126" s="62"/>
      <c r="V126" s="5"/>
      <c r="W126" s="5"/>
      <c r="X126" s="62"/>
      <c r="Y126" s="62"/>
      <c r="Z126" s="62"/>
      <c r="AA126" s="62"/>
      <c r="AB126" s="62"/>
      <c r="AD126" s="158"/>
    </row>
    <row r="127" spans="1:80" ht="3" customHeight="1" x14ac:dyDescent="0.45">
      <c r="A127" s="43"/>
      <c r="B127" s="97"/>
      <c r="C127" s="98"/>
      <c r="M127" s="5"/>
      <c r="O127" s="159">
        <f>+M127/$M$8</f>
        <v>0</v>
      </c>
      <c r="P127" s="159"/>
      <c r="Q127" s="159">
        <f>+M127/$M$8</f>
        <v>0</v>
      </c>
      <c r="R127" s="160">
        <f t="shared" ref="R127:R213" si="25">O127*343</f>
        <v>0</v>
      </c>
      <c r="S127" s="160">
        <f t="shared" ref="S127:S213" si="26">Q127*22</f>
        <v>0</v>
      </c>
      <c r="T127" s="134"/>
      <c r="U127" s="5"/>
      <c r="X127" s="5"/>
      <c r="Y127" s="5"/>
      <c r="Z127" s="5"/>
      <c r="AA127" s="5"/>
      <c r="AB127" s="5"/>
    </row>
    <row r="128" spans="1:80" x14ac:dyDescent="0.45">
      <c r="A128" s="135" t="s">
        <v>120</v>
      </c>
      <c r="B128" s="161" t="s">
        <v>121</v>
      </c>
      <c r="C128" s="162"/>
      <c r="D128" s="163"/>
      <c r="E128" s="163"/>
      <c r="F128" s="163"/>
      <c r="G128" s="163"/>
      <c r="H128" s="163"/>
      <c r="I128" s="163"/>
      <c r="J128" s="163"/>
      <c r="K128" s="163"/>
      <c r="L128" s="163"/>
      <c r="M128" s="164">
        <f>+SUM(M129:M145)</f>
        <v>181957.70270270269</v>
      </c>
      <c r="O128" s="164">
        <f>+$M$128/$M$8</f>
        <v>378.29044220936112</v>
      </c>
      <c r="P128" s="164">
        <f t="shared" ref="P128:Q128" si="27">+$M$128/$M$8</f>
        <v>378.29044220936112</v>
      </c>
      <c r="Q128" s="164">
        <f t="shared" si="27"/>
        <v>378.29044220936112</v>
      </c>
      <c r="R128" s="164">
        <f t="shared" si="25"/>
        <v>129753.62167781086</v>
      </c>
      <c r="S128" s="164">
        <f t="shared" si="26"/>
        <v>8322.3897286059437</v>
      </c>
      <c r="T128" s="157"/>
      <c r="U128" s="5"/>
      <c r="V128" s="5"/>
      <c r="W128" s="5"/>
      <c r="X128" s="5"/>
      <c r="Y128" s="5"/>
      <c r="Z128" s="5"/>
      <c r="AA128" s="5"/>
      <c r="AB128" s="62"/>
      <c r="AD128" s="165"/>
    </row>
    <row r="129" spans="1:30" hidden="1" x14ac:dyDescent="0.45">
      <c r="A129" s="65"/>
      <c r="B129" s="111" t="s">
        <v>122</v>
      </c>
      <c r="C129" s="66"/>
      <c r="D129" s="76">
        <v>0</v>
      </c>
      <c r="E129" s="76">
        <f>(3200+3333)</f>
        <v>6533</v>
      </c>
      <c r="F129" s="89"/>
      <c r="G129" s="76"/>
      <c r="H129" s="76"/>
      <c r="I129" s="89"/>
      <c r="J129" s="89"/>
      <c r="K129" s="89"/>
      <c r="L129" s="89"/>
      <c r="M129" s="146">
        <f>+D129*E129</f>
        <v>0</v>
      </c>
      <c r="O129" s="41">
        <f>+M129/$M$8</f>
        <v>0</v>
      </c>
      <c r="P129" s="62"/>
      <c r="Q129" s="41">
        <f>+M129/$M$8</f>
        <v>0</v>
      </c>
      <c r="R129" s="62"/>
      <c r="S129" s="62"/>
      <c r="T129" s="157"/>
      <c r="U129" s="5"/>
      <c r="V129" s="5"/>
      <c r="W129" s="5"/>
      <c r="X129" s="5"/>
      <c r="Y129" s="5"/>
      <c r="Z129" s="5"/>
      <c r="AA129" s="5"/>
      <c r="AB129" s="62"/>
      <c r="AD129" s="165"/>
    </row>
    <row r="130" spans="1:30" hidden="1" x14ac:dyDescent="0.45">
      <c r="A130" s="65"/>
      <c r="B130" s="111" t="s">
        <v>123</v>
      </c>
      <c r="C130" s="66"/>
      <c r="D130" s="76">
        <v>15</v>
      </c>
      <c r="E130" s="76">
        <f>(2500+666)</f>
        <v>3166</v>
      </c>
      <c r="F130" s="89"/>
      <c r="G130" s="76"/>
      <c r="H130" s="76"/>
      <c r="I130" s="89"/>
      <c r="J130" s="89"/>
      <c r="K130" s="89"/>
      <c r="L130" s="89"/>
      <c r="M130" s="50">
        <f>+D130*E130</f>
        <v>47490</v>
      </c>
      <c r="O130" s="41">
        <f t="shared" ref="O130:O188" si="28">+M130/$M$8</f>
        <v>98.731808731808727</v>
      </c>
      <c r="P130" s="62"/>
      <c r="Q130" s="41">
        <f t="shared" ref="Q130:Q188" si="29">+M130/$M$8</f>
        <v>98.731808731808727</v>
      </c>
      <c r="R130" s="62"/>
      <c r="S130" s="62"/>
      <c r="T130" s="157"/>
      <c r="U130" s="5"/>
      <c r="V130" s="5"/>
      <c r="W130" s="5"/>
      <c r="X130" s="5"/>
      <c r="Y130" s="5"/>
      <c r="Z130" s="5"/>
      <c r="AA130" s="5"/>
      <c r="AB130" s="62"/>
      <c r="AD130" s="165"/>
    </row>
    <row r="131" spans="1:30" hidden="1" x14ac:dyDescent="0.45">
      <c r="A131" s="65"/>
      <c r="B131" s="113" t="s">
        <v>124</v>
      </c>
      <c r="C131" s="114"/>
      <c r="D131" s="118">
        <v>15</v>
      </c>
      <c r="E131" s="118">
        <v>2500</v>
      </c>
      <c r="F131" s="166"/>
      <c r="G131" s="118"/>
      <c r="H131" s="118"/>
      <c r="I131" s="166"/>
      <c r="J131" s="166"/>
      <c r="K131" s="166"/>
      <c r="L131" s="166"/>
      <c r="M131" s="116">
        <v>0</v>
      </c>
      <c r="O131" s="41">
        <f t="shared" si="28"/>
        <v>0</v>
      </c>
      <c r="P131" s="62"/>
      <c r="Q131" s="41">
        <f t="shared" si="29"/>
        <v>0</v>
      </c>
      <c r="R131" s="62"/>
      <c r="S131" s="62"/>
      <c r="T131" s="157"/>
      <c r="U131" s="5"/>
      <c r="V131" s="5"/>
      <c r="W131" s="5"/>
      <c r="X131" s="5"/>
      <c r="Y131" s="5"/>
      <c r="Z131" s="5"/>
      <c r="AA131" s="5"/>
      <c r="AB131" s="62"/>
      <c r="AD131" s="165"/>
    </row>
    <row r="132" spans="1:30" hidden="1" x14ac:dyDescent="0.45">
      <c r="A132" s="65"/>
      <c r="B132" s="113" t="s">
        <v>125</v>
      </c>
      <c r="C132" s="114"/>
      <c r="D132" s="118">
        <v>15</v>
      </c>
      <c r="E132" s="118">
        <v>6533</v>
      </c>
      <c r="F132" s="166"/>
      <c r="G132" s="118"/>
      <c r="H132" s="118"/>
      <c r="I132" s="166"/>
      <c r="J132" s="166"/>
      <c r="K132" s="166"/>
      <c r="L132" s="166"/>
      <c r="M132" s="116">
        <v>0</v>
      </c>
      <c r="O132" s="41">
        <f t="shared" si="28"/>
        <v>0</v>
      </c>
      <c r="P132" s="62"/>
      <c r="Q132" s="41">
        <f t="shared" si="29"/>
        <v>0</v>
      </c>
      <c r="R132" s="62"/>
      <c r="S132" s="62"/>
      <c r="T132" s="157"/>
      <c r="U132" s="5"/>
      <c r="V132" s="5"/>
      <c r="W132" s="5"/>
      <c r="X132" s="5"/>
      <c r="Y132" s="5"/>
      <c r="Z132" s="5"/>
      <c r="AA132" s="5"/>
      <c r="AB132" s="62"/>
      <c r="AD132" s="165"/>
    </row>
    <row r="133" spans="1:30" hidden="1" x14ac:dyDescent="0.45">
      <c r="A133" s="65"/>
      <c r="B133" s="167" t="s">
        <v>126</v>
      </c>
      <c r="C133" s="167"/>
      <c r="D133" s="167">
        <v>15</v>
      </c>
      <c r="E133" s="168">
        <v>3345.7550000000006</v>
      </c>
      <c r="F133" s="169"/>
      <c r="G133" s="167"/>
      <c r="H133" s="167"/>
      <c r="I133" s="169"/>
      <c r="J133" s="169"/>
      <c r="K133" s="169"/>
      <c r="L133" s="169"/>
      <c r="M133" s="170">
        <v>13563.871621621623</v>
      </c>
      <c r="O133" s="41"/>
      <c r="P133" s="62"/>
      <c r="Q133" s="41"/>
      <c r="R133" s="62"/>
      <c r="S133" s="62"/>
      <c r="T133" s="157"/>
      <c r="U133" s="5"/>
      <c r="V133" s="5"/>
      <c r="W133" s="5"/>
      <c r="X133" s="5"/>
      <c r="Y133" s="5"/>
      <c r="Z133" s="5"/>
      <c r="AA133" s="5"/>
      <c r="AB133" s="62"/>
      <c r="AD133" s="165"/>
    </row>
    <row r="134" spans="1:30" hidden="1" x14ac:dyDescent="0.45">
      <c r="A134" s="65"/>
      <c r="B134" s="167" t="s">
        <v>127</v>
      </c>
      <c r="C134" s="167"/>
      <c r="D134" s="167">
        <v>15</v>
      </c>
      <c r="E134" s="168">
        <v>5450</v>
      </c>
      <c r="F134" s="169"/>
      <c r="G134" s="167"/>
      <c r="H134" s="167"/>
      <c r="I134" s="169"/>
      <c r="J134" s="169"/>
      <c r="K134" s="169"/>
      <c r="L134" s="169"/>
      <c r="M134" s="170">
        <v>22094.594594594593</v>
      </c>
      <c r="O134" s="41"/>
      <c r="P134" s="62"/>
      <c r="Q134" s="41"/>
      <c r="R134" s="62"/>
      <c r="S134" s="62"/>
      <c r="T134" s="157"/>
      <c r="U134" s="5"/>
      <c r="V134" s="5"/>
      <c r="W134" s="5"/>
      <c r="X134" s="5"/>
      <c r="Y134" s="5"/>
      <c r="Z134" s="5"/>
      <c r="AA134" s="5"/>
      <c r="AB134" s="62"/>
      <c r="AD134" s="165"/>
    </row>
    <row r="135" spans="1:30" hidden="1" x14ac:dyDescent="0.45">
      <c r="A135" s="65"/>
      <c r="B135" s="167" t="s">
        <v>128</v>
      </c>
      <c r="C135" s="167"/>
      <c r="D135" s="167">
        <v>15</v>
      </c>
      <c r="E135" s="168">
        <v>4905</v>
      </c>
      <c r="F135" s="169"/>
      <c r="G135" s="167"/>
      <c r="H135" s="167"/>
      <c r="I135" s="169"/>
      <c r="J135" s="169"/>
      <c r="K135" s="169"/>
      <c r="L135" s="169"/>
      <c r="M135" s="170">
        <v>19885.135135135133</v>
      </c>
      <c r="O135" s="41"/>
      <c r="P135" s="62"/>
      <c r="Q135" s="41"/>
      <c r="R135" s="62"/>
      <c r="S135" s="62"/>
      <c r="T135" s="157"/>
      <c r="U135" s="5"/>
      <c r="V135" s="5"/>
      <c r="W135" s="5"/>
      <c r="X135" s="5"/>
      <c r="Y135" s="5"/>
      <c r="Z135" s="5"/>
      <c r="AA135" s="5"/>
      <c r="AB135" s="62"/>
      <c r="AD135" s="165"/>
    </row>
    <row r="136" spans="1:30" hidden="1" x14ac:dyDescent="0.45">
      <c r="A136" s="65"/>
      <c r="B136" s="167" t="s">
        <v>129</v>
      </c>
      <c r="C136" s="167"/>
      <c r="D136" s="167">
        <v>15</v>
      </c>
      <c r="E136" s="168">
        <v>2182.7250000000004</v>
      </c>
      <c r="F136" s="169"/>
      <c r="G136" s="167"/>
      <c r="H136" s="167"/>
      <c r="I136" s="169"/>
      <c r="J136" s="169"/>
      <c r="K136" s="169"/>
      <c r="L136" s="169"/>
      <c r="M136" s="170">
        <v>8848.8851351351368</v>
      </c>
      <c r="O136" s="41"/>
      <c r="P136" s="62"/>
      <c r="Q136" s="41"/>
      <c r="R136" s="62"/>
      <c r="S136" s="62"/>
      <c r="T136" s="157"/>
      <c r="U136" s="5"/>
      <c r="V136" s="5"/>
      <c r="W136" s="5"/>
      <c r="X136" s="5"/>
      <c r="Y136" s="5"/>
      <c r="Z136" s="5"/>
      <c r="AA136" s="5"/>
      <c r="AB136" s="62"/>
      <c r="AD136" s="165"/>
    </row>
    <row r="137" spans="1:30" hidden="1" x14ac:dyDescent="0.45">
      <c r="A137" s="65"/>
      <c r="B137" s="167" t="s">
        <v>130</v>
      </c>
      <c r="C137" s="167"/>
      <c r="D137" s="167">
        <v>15</v>
      </c>
      <c r="E137" s="168">
        <v>2509.7250000000004</v>
      </c>
      <c r="F137" s="169"/>
      <c r="G137" s="167"/>
      <c r="H137" s="167"/>
      <c r="I137" s="169"/>
      <c r="J137" s="169"/>
      <c r="K137" s="169"/>
      <c r="L137" s="169"/>
      <c r="M137" s="170">
        <v>10174.560810810812</v>
      </c>
      <c r="O137" s="41"/>
      <c r="P137" s="62"/>
      <c r="Q137" s="41"/>
      <c r="R137" s="62"/>
      <c r="S137" s="62"/>
      <c r="T137" s="157"/>
      <c r="U137" s="5"/>
      <c r="V137" s="5"/>
      <c r="W137" s="5"/>
      <c r="X137" s="5"/>
      <c r="Y137" s="5"/>
      <c r="Z137" s="5"/>
      <c r="AA137" s="5"/>
      <c r="AB137" s="62"/>
      <c r="AD137" s="165"/>
    </row>
    <row r="138" spans="1:30" hidden="1" x14ac:dyDescent="0.45">
      <c r="A138" s="65"/>
      <c r="B138" s="167" t="s">
        <v>131</v>
      </c>
      <c r="C138" s="167"/>
      <c r="D138" s="167">
        <v>15</v>
      </c>
      <c r="E138" s="168">
        <v>2106.9700000000003</v>
      </c>
      <c r="F138" s="169"/>
      <c r="G138" s="167"/>
      <c r="H138" s="167"/>
      <c r="I138" s="169"/>
      <c r="J138" s="169"/>
      <c r="K138" s="169"/>
      <c r="L138" s="169"/>
      <c r="M138" s="170">
        <v>8541.77027027027</v>
      </c>
      <c r="O138" s="41"/>
      <c r="P138" s="62"/>
      <c r="Q138" s="41"/>
      <c r="R138" s="62"/>
      <c r="S138" s="62"/>
      <c r="T138" s="157"/>
      <c r="U138" s="5"/>
      <c r="V138" s="5"/>
      <c r="W138" s="5"/>
      <c r="X138" s="5"/>
      <c r="Y138" s="5"/>
      <c r="Z138" s="5"/>
      <c r="AA138" s="5"/>
      <c r="AB138" s="62"/>
      <c r="AD138" s="165"/>
    </row>
    <row r="139" spans="1:30" hidden="1" x14ac:dyDescent="0.45">
      <c r="A139" s="65"/>
      <c r="B139" s="167" t="s">
        <v>132</v>
      </c>
      <c r="C139" s="167"/>
      <c r="D139" s="167">
        <v>15</v>
      </c>
      <c r="E139" s="168">
        <v>4054.8</v>
      </c>
      <c r="F139" s="169"/>
      <c r="G139" s="167"/>
      <c r="H139" s="167"/>
      <c r="I139" s="169"/>
      <c r="J139" s="169"/>
      <c r="K139" s="169"/>
      <c r="L139" s="169"/>
      <c r="M139" s="170">
        <v>16438.378378378377</v>
      </c>
      <c r="O139" s="41"/>
      <c r="P139" s="62"/>
      <c r="Q139" s="41"/>
      <c r="R139" s="62"/>
      <c r="S139" s="62"/>
      <c r="T139" s="157"/>
      <c r="U139" s="5"/>
      <c r="V139" s="5"/>
      <c r="W139" s="5"/>
      <c r="X139" s="5"/>
      <c r="Y139" s="5"/>
      <c r="Z139" s="5"/>
      <c r="AA139" s="5"/>
      <c r="AB139" s="62"/>
      <c r="AD139" s="165"/>
    </row>
    <row r="140" spans="1:30" hidden="1" x14ac:dyDescent="0.45">
      <c r="A140" s="65"/>
      <c r="B140" s="171" t="s">
        <v>133</v>
      </c>
      <c r="C140" s="171"/>
      <c r="D140" s="172">
        <v>15</v>
      </c>
      <c r="E140" s="172">
        <v>3488.0000000000005</v>
      </c>
      <c r="F140" s="173"/>
      <c r="G140" s="171"/>
      <c r="H140" s="171"/>
      <c r="I140" s="173"/>
      <c r="J140" s="173"/>
      <c r="K140" s="173"/>
      <c r="L140" s="173"/>
      <c r="M140" s="174">
        <v>14140.540540540542</v>
      </c>
      <c r="O140" s="41"/>
      <c r="P140" s="62"/>
      <c r="Q140" s="41"/>
      <c r="R140" s="62"/>
      <c r="S140" s="62"/>
      <c r="T140" s="157"/>
      <c r="U140" s="5"/>
      <c r="V140" s="5"/>
      <c r="W140" s="5"/>
      <c r="X140" s="5"/>
      <c r="Y140" s="5"/>
      <c r="Z140" s="5"/>
      <c r="AA140" s="5"/>
      <c r="AB140" s="62"/>
      <c r="AD140" s="165"/>
    </row>
    <row r="141" spans="1:30" hidden="1" x14ac:dyDescent="0.45">
      <c r="A141" s="65"/>
      <c r="B141" s="167" t="s">
        <v>134</v>
      </c>
      <c r="C141" s="167"/>
      <c r="D141" s="168">
        <v>15</v>
      </c>
      <c r="E141" s="168">
        <v>3599.7250000000004</v>
      </c>
      <c r="F141" s="169"/>
      <c r="G141" s="167"/>
      <c r="H141" s="167"/>
      <c r="I141" s="169"/>
      <c r="J141" s="169"/>
      <c r="K141" s="169"/>
      <c r="L141" s="169"/>
      <c r="M141" s="170">
        <v>14593.479729729732</v>
      </c>
      <c r="O141" s="41"/>
      <c r="P141" s="62"/>
      <c r="Q141" s="41"/>
      <c r="R141" s="62"/>
      <c r="S141" s="62"/>
      <c r="T141" s="157"/>
      <c r="U141" s="5"/>
      <c r="V141" s="5"/>
      <c r="W141" s="5"/>
      <c r="X141" s="5"/>
      <c r="Y141" s="5"/>
      <c r="Z141" s="5"/>
      <c r="AA141" s="5"/>
      <c r="AB141" s="62"/>
      <c r="AD141" s="165"/>
    </row>
    <row r="142" spans="1:30" hidden="1" x14ac:dyDescent="0.45">
      <c r="A142" s="65"/>
      <c r="B142" s="171" t="s">
        <v>135</v>
      </c>
      <c r="C142" s="171"/>
      <c r="D142" s="171">
        <v>15</v>
      </c>
      <c r="E142" s="172">
        <v>1526</v>
      </c>
      <c r="F142" s="173"/>
      <c r="G142" s="171"/>
      <c r="H142" s="171"/>
      <c r="I142" s="173"/>
      <c r="J142" s="173"/>
      <c r="K142" s="173"/>
      <c r="L142" s="173"/>
      <c r="M142" s="174">
        <v>6186.4864864864858</v>
      </c>
      <c r="O142" s="41"/>
      <c r="P142" s="62"/>
      <c r="Q142" s="41"/>
      <c r="R142" s="62"/>
      <c r="S142" s="62"/>
      <c r="T142" s="157"/>
      <c r="U142" s="5"/>
      <c r="V142" s="5"/>
      <c r="W142" s="5"/>
      <c r="X142" s="5"/>
      <c r="Y142" s="5"/>
      <c r="Z142" s="5"/>
      <c r="AA142" s="5"/>
      <c r="AB142" s="62"/>
      <c r="AD142" s="165"/>
    </row>
    <row r="143" spans="1:30" hidden="1" x14ac:dyDescent="0.45">
      <c r="A143" s="65"/>
      <c r="B143" s="113"/>
      <c r="C143" s="114"/>
      <c r="D143" s="118"/>
      <c r="E143" s="118"/>
      <c r="F143" s="166"/>
      <c r="G143" s="118"/>
      <c r="H143" s="118"/>
      <c r="I143" s="166"/>
      <c r="J143" s="166"/>
      <c r="K143" s="166"/>
      <c r="L143" s="166"/>
      <c r="M143" s="116"/>
      <c r="O143" s="41"/>
      <c r="P143" s="62"/>
      <c r="Q143" s="41"/>
      <c r="R143" s="62"/>
      <c r="S143" s="62"/>
      <c r="T143" s="157"/>
      <c r="U143" s="5"/>
      <c r="V143" s="5"/>
      <c r="W143" s="5"/>
      <c r="X143" s="5"/>
      <c r="Y143" s="5"/>
      <c r="Z143" s="5"/>
      <c r="AA143" s="5"/>
      <c r="AB143" s="62"/>
      <c r="AD143" s="165"/>
    </row>
    <row r="144" spans="1:30" hidden="1" x14ac:dyDescent="0.45">
      <c r="A144" s="65"/>
      <c r="B144" s="113"/>
      <c r="C144" s="114"/>
      <c r="D144" s="118"/>
      <c r="E144" s="118"/>
      <c r="F144" s="166"/>
      <c r="G144" s="118"/>
      <c r="H144" s="118"/>
      <c r="I144" s="166"/>
      <c r="J144" s="166"/>
      <c r="K144" s="166"/>
      <c r="L144" s="166"/>
      <c r="M144" s="116"/>
      <c r="O144" s="41"/>
      <c r="P144" s="62"/>
      <c r="Q144" s="41"/>
      <c r="R144" s="62"/>
      <c r="S144" s="62"/>
      <c r="T144" s="157"/>
      <c r="U144" s="5"/>
      <c r="V144" s="5"/>
      <c r="W144" s="5"/>
      <c r="X144" s="5"/>
      <c r="Y144" s="5"/>
      <c r="Z144" s="5"/>
      <c r="AA144" s="5"/>
      <c r="AB144" s="62"/>
      <c r="AD144" s="165"/>
    </row>
    <row r="145" spans="1:30" hidden="1" x14ac:dyDescent="0.45">
      <c r="A145" s="65"/>
      <c r="B145" s="113"/>
      <c r="C145" s="114"/>
      <c r="D145" s="118"/>
      <c r="E145" s="118"/>
      <c r="F145" s="166"/>
      <c r="G145" s="118"/>
      <c r="H145" s="118"/>
      <c r="I145" s="166"/>
      <c r="J145" s="166"/>
      <c r="K145" s="166"/>
      <c r="L145" s="166"/>
      <c r="M145" s="116"/>
      <c r="O145" s="41"/>
      <c r="P145" s="62"/>
      <c r="Q145" s="41"/>
      <c r="R145" s="62"/>
      <c r="S145" s="62"/>
      <c r="T145" s="157"/>
      <c r="U145" s="5"/>
      <c r="V145" s="5"/>
      <c r="W145" s="5"/>
      <c r="X145" s="5"/>
      <c r="Y145" s="5"/>
      <c r="Z145" s="5"/>
      <c r="AA145" s="5"/>
      <c r="AB145" s="62"/>
      <c r="AD145" s="165"/>
    </row>
    <row r="146" spans="1:30" x14ac:dyDescent="0.45">
      <c r="A146" s="65"/>
      <c r="B146" s="111"/>
      <c r="C146" s="66"/>
      <c r="D146" s="76"/>
      <c r="E146" s="76"/>
      <c r="F146" s="89"/>
      <c r="G146" s="76"/>
      <c r="H146" s="76"/>
      <c r="I146" s="89"/>
      <c r="J146" s="89"/>
      <c r="K146" s="89"/>
      <c r="L146" s="89"/>
      <c r="M146" s="50"/>
      <c r="O146" s="41"/>
      <c r="P146" s="62"/>
      <c r="Q146" s="41"/>
      <c r="R146" s="62"/>
      <c r="S146" s="62"/>
      <c r="T146" s="157"/>
      <c r="U146" s="5"/>
      <c r="V146" s="5"/>
      <c r="W146" s="5"/>
      <c r="X146" s="5"/>
      <c r="Y146" s="5"/>
      <c r="Z146" s="5"/>
      <c r="AA146" s="5"/>
      <c r="AB146" s="62"/>
      <c r="AD146" s="165"/>
    </row>
    <row r="147" spans="1:30" outlineLevel="1" x14ac:dyDescent="0.45">
      <c r="A147" s="135">
        <v>16</v>
      </c>
      <c r="B147" s="163" t="s">
        <v>136</v>
      </c>
      <c r="C147" s="175"/>
      <c r="D147" s="175"/>
      <c r="E147" s="175"/>
      <c r="F147" s="163"/>
      <c r="G147" s="175"/>
      <c r="H147" s="175"/>
      <c r="I147" s="163"/>
      <c r="J147" s="163"/>
      <c r="K147" s="163"/>
      <c r="L147" s="163"/>
      <c r="M147" s="164">
        <f>+SUM(M149:M185)</f>
        <v>326158.37837837834</v>
      </c>
      <c r="O147" s="164">
        <f>+$M$147/$M$8</f>
        <v>678.08394673259534</v>
      </c>
      <c r="P147" s="164">
        <f t="shared" ref="P147" si="30">+$M$147/$M$8</f>
        <v>678.08394673259534</v>
      </c>
      <c r="Q147" s="164">
        <f>+$M$147/$M$8</f>
        <v>678.08394673259534</v>
      </c>
      <c r="R147" s="164">
        <f t="shared" si="25"/>
        <v>232582.79372928021</v>
      </c>
      <c r="S147" s="164">
        <f t="shared" si="26"/>
        <v>14917.846828117097</v>
      </c>
      <c r="T147" s="134"/>
      <c r="U147" s="5"/>
      <c r="X147" s="5"/>
      <c r="Y147" s="5"/>
      <c r="Z147" s="5"/>
      <c r="AA147" s="5"/>
      <c r="AB147" s="41"/>
    </row>
    <row r="148" spans="1:30" ht="5.25" customHeight="1" outlineLevel="1" x14ac:dyDescent="0.45">
      <c r="A148" s="65"/>
      <c r="B148" s="111"/>
      <c r="C148" s="66"/>
      <c r="D148" s="76"/>
      <c r="E148" s="76"/>
      <c r="F148" s="89"/>
      <c r="G148" s="76"/>
      <c r="H148" s="76"/>
      <c r="I148" s="89"/>
      <c r="J148" s="89"/>
      <c r="K148" s="89"/>
      <c r="L148" s="89"/>
      <c r="M148" s="50"/>
      <c r="O148" s="41">
        <f t="shared" si="28"/>
        <v>0</v>
      </c>
      <c r="P148" s="62"/>
      <c r="Q148" s="41">
        <f t="shared" si="29"/>
        <v>0</v>
      </c>
      <c r="R148" s="160">
        <f t="shared" si="25"/>
        <v>0</v>
      </c>
      <c r="S148" s="160">
        <f t="shared" si="26"/>
        <v>0</v>
      </c>
      <c r="T148" s="134"/>
      <c r="U148" s="5"/>
      <c r="X148" s="5"/>
      <c r="Y148" s="5"/>
      <c r="Z148" s="5"/>
      <c r="AA148" s="5"/>
      <c r="AB148" s="41"/>
    </row>
    <row r="149" spans="1:30" hidden="1" outlineLevel="1" x14ac:dyDescent="0.45">
      <c r="A149" s="65"/>
      <c r="B149" s="176" t="s">
        <v>137</v>
      </c>
      <c r="C149" s="76"/>
      <c r="D149" s="177">
        <v>12</v>
      </c>
      <c r="E149" s="49">
        <v>2639.9300000000003</v>
      </c>
      <c r="F149" s="89"/>
      <c r="G149" s="76"/>
      <c r="H149" s="76"/>
      <c r="I149" s="89"/>
      <c r="J149" s="89"/>
      <c r="K149" s="89"/>
      <c r="L149" s="89"/>
      <c r="M149" s="50">
        <v>8561.9351351351361</v>
      </c>
      <c r="O149" s="41"/>
      <c r="P149" s="41"/>
      <c r="Q149" s="41"/>
      <c r="R149" s="160"/>
      <c r="S149" s="160"/>
      <c r="T149" s="134"/>
      <c r="U149" s="5"/>
      <c r="X149" s="62"/>
      <c r="Y149" s="5"/>
      <c r="Z149" s="5"/>
      <c r="AA149" s="5"/>
      <c r="AB149" s="41"/>
    </row>
    <row r="150" spans="1:30" hidden="1" outlineLevel="1" x14ac:dyDescent="0.45">
      <c r="A150" s="65"/>
      <c r="B150" s="176" t="s">
        <v>138</v>
      </c>
      <c r="C150" s="76"/>
      <c r="D150" s="177">
        <v>12</v>
      </c>
      <c r="E150" s="49">
        <v>2639.9300000000003</v>
      </c>
      <c r="F150" s="89"/>
      <c r="G150" s="76"/>
      <c r="H150" s="76"/>
      <c r="I150" s="89"/>
      <c r="J150" s="89"/>
      <c r="K150" s="89"/>
      <c r="L150" s="89"/>
      <c r="M150" s="50">
        <v>8561.9351351351361</v>
      </c>
      <c r="O150" s="41"/>
      <c r="P150" s="41"/>
      <c r="Q150" s="41"/>
      <c r="R150" s="160"/>
      <c r="S150" s="160"/>
      <c r="T150" s="134"/>
      <c r="U150" s="5"/>
      <c r="X150" s="62"/>
      <c r="Y150" s="5"/>
      <c r="Z150" s="5"/>
      <c r="AA150" s="5"/>
      <c r="AB150" s="41"/>
    </row>
    <row r="151" spans="1:30" hidden="1" outlineLevel="1" x14ac:dyDescent="0.45">
      <c r="A151" s="65"/>
      <c r="B151" s="176" t="s">
        <v>139</v>
      </c>
      <c r="C151" s="76"/>
      <c r="D151" s="177">
        <v>12</v>
      </c>
      <c r="E151" s="49">
        <v>2639.9300000000003</v>
      </c>
      <c r="F151" s="89"/>
      <c r="G151" s="76"/>
      <c r="H151" s="76"/>
      <c r="I151" s="89"/>
      <c r="J151" s="89"/>
      <c r="K151" s="89"/>
      <c r="L151" s="89"/>
      <c r="M151" s="50">
        <v>8561.9351351351361</v>
      </c>
      <c r="O151" s="41"/>
      <c r="P151" s="41"/>
      <c r="Q151" s="41"/>
      <c r="R151" s="160"/>
      <c r="S151" s="160"/>
      <c r="T151" s="134"/>
      <c r="U151" s="5"/>
      <c r="X151" s="62"/>
      <c r="Y151" s="5"/>
      <c r="Z151" s="5"/>
      <c r="AA151" s="5"/>
      <c r="AB151" s="41"/>
    </row>
    <row r="152" spans="1:30" hidden="1" outlineLevel="1" x14ac:dyDescent="0.45">
      <c r="A152" s="65"/>
      <c r="B152" s="176" t="s">
        <v>140</v>
      </c>
      <c r="C152" s="76"/>
      <c r="D152" s="177">
        <v>101</v>
      </c>
      <c r="E152" s="49">
        <v>2634.63</v>
      </c>
      <c r="F152" s="89"/>
      <c r="G152" s="76"/>
      <c r="H152" s="76"/>
      <c r="I152" s="89"/>
      <c r="J152" s="89"/>
      <c r="K152" s="89"/>
      <c r="L152" s="89"/>
      <c r="M152" s="50">
        <v>71918.278378378382</v>
      </c>
      <c r="O152" s="41"/>
      <c r="P152" s="41"/>
      <c r="Q152" s="41"/>
      <c r="R152" s="160"/>
      <c r="S152" s="160"/>
      <c r="T152" s="134"/>
      <c r="U152" s="5"/>
      <c r="X152" s="62"/>
      <c r="Y152" s="5"/>
      <c r="Z152" s="5"/>
      <c r="AA152" s="5"/>
      <c r="AB152" s="41"/>
    </row>
    <row r="153" spans="1:30" hidden="1" outlineLevel="1" x14ac:dyDescent="0.45">
      <c r="A153" s="65"/>
      <c r="B153" s="176" t="s">
        <v>141</v>
      </c>
      <c r="C153" s="76"/>
      <c r="D153" s="177">
        <v>12</v>
      </c>
      <c r="E153" s="49">
        <v>2016.65</v>
      </c>
      <c r="F153" s="89"/>
      <c r="G153" s="76"/>
      <c r="H153" s="76"/>
      <c r="I153" s="89"/>
      <c r="J153" s="89"/>
      <c r="K153" s="89"/>
      <c r="L153" s="89"/>
      <c r="M153" s="50">
        <v>6540.4864864864867</v>
      </c>
      <c r="O153" s="41"/>
      <c r="P153" s="41"/>
      <c r="Q153" s="41"/>
      <c r="R153" s="160"/>
      <c r="S153" s="160"/>
      <c r="T153" s="134"/>
      <c r="U153" s="5"/>
      <c r="X153" s="62"/>
      <c r="Y153" s="5"/>
      <c r="Z153" s="5"/>
      <c r="AA153" s="5"/>
      <c r="AB153" s="41"/>
    </row>
    <row r="154" spans="1:30" hidden="1" outlineLevel="1" x14ac:dyDescent="0.45">
      <c r="A154" s="65"/>
      <c r="B154" s="176" t="s">
        <v>142</v>
      </c>
      <c r="C154" s="76"/>
      <c r="D154" s="177">
        <v>10</v>
      </c>
      <c r="E154" s="49">
        <v>2639.9300000000003</v>
      </c>
      <c r="F154" s="89"/>
      <c r="G154" s="76"/>
      <c r="H154" s="76"/>
      <c r="I154" s="89"/>
      <c r="J154" s="89"/>
      <c r="K154" s="89"/>
      <c r="L154" s="89"/>
      <c r="M154" s="50">
        <v>7134.9459459459467</v>
      </c>
      <c r="O154" s="41"/>
      <c r="P154" s="41"/>
      <c r="Q154" s="41"/>
      <c r="R154" s="160"/>
      <c r="S154" s="160"/>
      <c r="T154" s="134"/>
      <c r="U154" s="5"/>
      <c r="X154" s="62"/>
      <c r="Y154" s="5"/>
      <c r="Z154" s="5"/>
      <c r="AA154" s="5"/>
      <c r="AB154" s="41"/>
    </row>
    <row r="155" spans="1:30" s="5" customFormat="1" hidden="1" outlineLevel="1" x14ac:dyDescent="0.45">
      <c r="A155" s="65"/>
      <c r="B155" s="76" t="s">
        <v>143</v>
      </c>
      <c r="C155" s="76"/>
      <c r="D155" s="76">
        <v>12</v>
      </c>
      <c r="E155" s="49">
        <v>2758.65</v>
      </c>
      <c r="F155" s="76"/>
      <c r="G155" s="76"/>
      <c r="H155" s="76"/>
      <c r="I155" s="76"/>
      <c r="J155" s="76"/>
      <c r="K155" s="76"/>
      <c r="L155" s="76"/>
      <c r="M155" s="50">
        <v>8946.9729729729734</v>
      </c>
      <c r="O155" s="41"/>
      <c r="P155" s="41"/>
      <c r="Q155" s="41"/>
      <c r="R155" s="178"/>
      <c r="S155" s="178"/>
      <c r="T155" s="179"/>
      <c r="X155" s="62"/>
      <c r="AB155" s="62"/>
    </row>
    <row r="156" spans="1:30" s="5" customFormat="1" hidden="1" outlineLevel="1" x14ac:dyDescent="0.45">
      <c r="A156" s="65"/>
      <c r="B156" s="76" t="s">
        <v>144</v>
      </c>
      <c r="C156" s="76"/>
      <c r="D156" s="76">
        <v>12</v>
      </c>
      <c r="E156" s="49">
        <v>2334.65</v>
      </c>
      <c r="F156" s="76"/>
      <c r="G156" s="76"/>
      <c r="H156" s="76"/>
      <c r="I156" s="76"/>
      <c r="J156" s="76"/>
      <c r="K156" s="76"/>
      <c r="L156" s="76"/>
      <c r="M156" s="50">
        <v>7571.8378378378384</v>
      </c>
      <c r="O156" s="41"/>
      <c r="P156" s="41"/>
      <c r="Q156" s="41"/>
      <c r="R156" s="178"/>
      <c r="S156" s="178"/>
      <c r="T156" s="179"/>
      <c r="X156" s="62"/>
      <c r="AB156" s="62"/>
    </row>
    <row r="157" spans="1:30" s="5" customFormat="1" hidden="1" outlineLevel="1" x14ac:dyDescent="0.45">
      <c r="A157" s="65"/>
      <c r="B157" s="76" t="s">
        <v>145</v>
      </c>
      <c r="C157" s="76"/>
      <c r="D157" s="76">
        <v>12</v>
      </c>
      <c r="E157" s="49">
        <v>2968</v>
      </c>
      <c r="F157" s="76"/>
      <c r="G157" s="76"/>
      <c r="H157" s="76"/>
      <c r="I157" s="76"/>
      <c r="J157" s="76"/>
      <c r="K157" s="76"/>
      <c r="L157" s="76"/>
      <c r="M157" s="50">
        <v>9625.9459459459449</v>
      </c>
      <c r="O157" s="41"/>
      <c r="P157" s="41"/>
      <c r="Q157" s="41"/>
      <c r="R157" s="178"/>
      <c r="S157" s="178"/>
      <c r="T157" s="179"/>
      <c r="X157" s="62"/>
      <c r="AB157" s="62"/>
    </row>
    <row r="158" spans="1:30" s="5" customFormat="1" hidden="1" outlineLevel="1" x14ac:dyDescent="0.45">
      <c r="A158" s="65"/>
      <c r="B158" s="76" t="s">
        <v>146</v>
      </c>
      <c r="C158" s="76"/>
      <c r="D158" s="76">
        <v>12</v>
      </c>
      <c r="E158" s="49">
        <v>2229.71</v>
      </c>
      <c r="F158" s="76"/>
      <c r="G158" s="76"/>
      <c r="H158" s="76"/>
      <c r="I158" s="76"/>
      <c r="J158" s="76"/>
      <c r="K158" s="76"/>
      <c r="L158" s="76"/>
      <c r="M158" s="50">
        <v>7231.491891891892</v>
      </c>
      <c r="O158" s="41"/>
      <c r="P158" s="41"/>
      <c r="Q158" s="41"/>
      <c r="R158" s="178"/>
      <c r="S158" s="178"/>
      <c r="T158" s="179"/>
      <c r="X158" s="62"/>
      <c r="AB158" s="62"/>
    </row>
    <row r="159" spans="1:30" s="5" customFormat="1" hidden="1" outlineLevel="1" x14ac:dyDescent="0.45">
      <c r="A159" s="65"/>
      <c r="B159" s="76" t="s">
        <v>147</v>
      </c>
      <c r="C159" s="76"/>
      <c r="D159" s="76">
        <v>12</v>
      </c>
      <c r="E159" s="49">
        <v>2126.8900000000003</v>
      </c>
      <c r="F159" s="76"/>
      <c r="G159" s="76"/>
      <c r="H159" s="76"/>
      <c r="I159" s="76"/>
      <c r="J159" s="76"/>
      <c r="K159" s="76"/>
      <c r="L159" s="76"/>
      <c r="M159" s="50">
        <v>6898.0216216216222</v>
      </c>
      <c r="O159" s="41"/>
      <c r="P159" s="41"/>
      <c r="Q159" s="41"/>
      <c r="R159" s="178"/>
      <c r="S159" s="178"/>
      <c r="T159" s="179"/>
      <c r="X159" s="62"/>
      <c r="AB159" s="62"/>
    </row>
    <row r="160" spans="1:30" s="5" customFormat="1" hidden="1" outlineLevel="1" x14ac:dyDescent="0.45">
      <c r="A160" s="65"/>
      <c r="B160" s="76" t="s">
        <v>148</v>
      </c>
      <c r="C160" s="76"/>
      <c r="D160" s="76">
        <v>12</v>
      </c>
      <c r="E160" s="49">
        <v>2126.8900000000003</v>
      </c>
      <c r="F160" s="76"/>
      <c r="G160" s="76"/>
      <c r="H160" s="76"/>
      <c r="I160" s="76"/>
      <c r="J160" s="76"/>
      <c r="K160" s="76"/>
      <c r="L160" s="76"/>
      <c r="M160" s="50">
        <v>6898.0216216216222</v>
      </c>
      <c r="O160" s="41"/>
      <c r="P160" s="41"/>
      <c r="Q160" s="41"/>
      <c r="R160" s="178"/>
      <c r="S160" s="178"/>
      <c r="T160" s="179"/>
      <c r="X160" s="62"/>
      <c r="AB160" s="62"/>
    </row>
    <row r="161" spans="1:28" s="5" customFormat="1" hidden="1" outlineLevel="1" x14ac:dyDescent="0.45">
      <c r="A161" s="65"/>
      <c r="B161" s="76" t="s">
        <v>149</v>
      </c>
      <c r="C161" s="76"/>
      <c r="D161" s="76">
        <v>12</v>
      </c>
      <c r="E161" s="49">
        <v>2126.8900000000003</v>
      </c>
      <c r="F161" s="76"/>
      <c r="G161" s="76"/>
      <c r="H161" s="76"/>
      <c r="I161" s="76"/>
      <c r="J161" s="76"/>
      <c r="K161" s="76"/>
      <c r="L161" s="76"/>
      <c r="M161" s="50">
        <v>6898.0216216216222</v>
      </c>
      <c r="O161" s="41"/>
      <c r="P161" s="41"/>
      <c r="Q161" s="41"/>
      <c r="R161" s="178"/>
      <c r="S161" s="178"/>
      <c r="T161" s="179"/>
      <c r="X161" s="62"/>
      <c r="AB161" s="62"/>
    </row>
    <row r="162" spans="1:28" hidden="1" outlineLevel="1" x14ac:dyDescent="0.45">
      <c r="A162" s="65"/>
      <c r="B162" s="176" t="s">
        <v>150</v>
      </c>
      <c r="C162" s="76"/>
      <c r="D162" s="177">
        <v>12</v>
      </c>
      <c r="E162" s="49">
        <v>4558</v>
      </c>
      <c r="F162" s="89"/>
      <c r="G162" s="76"/>
      <c r="H162" s="76"/>
      <c r="I162" s="89"/>
      <c r="J162" s="89"/>
      <c r="K162" s="89"/>
      <c r="L162" s="89"/>
      <c r="M162" s="50">
        <v>14782.702702702702</v>
      </c>
      <c r="O162" s="41"/>
      <c r="P162" s="41"/>
      <c r="Q162" s="41"/>
      <c r="R162" s="160"/>
      <c r="S162" s="160"/>
      <c r="T162" s="134"/>
      <c r="U162" s="5"/>
      <c r="X162" s="62"/>
      <c r="Y162" s="5"/>
      <c r="Z162" s="5"/>
      <c r="AA162" s="5"/>
      <c r="AB162" s="41"/>
    </row>
    <row r="163" spans="1:28" hidden="1" outlineLevel="1" x14ac:dyDescent="0.45">
      <c r="A163" s="65"/>
      <c r="B163" s="176" t="s">
        <v>151</v>
      </c>
      <c r="C163" s="76"/>
      <c r="D163" s="177">
        <v>12</v>
      </c>
      <c r="E163" s="49">
        <v>3180</v>
      </c>
      <c r="F163" s="89"/>
      <c r="G163" s="76"/>
      <c r="H163" s="76"/>
      <c r="I163" s="89"/>
      <c r="J163" s="89"/>
      <c r="K163" s="89"/>
      <c r="L163" s="89"/>
      <c r="M163" s="50">
        <v>10313.513513513513</v>
      </c>
      <c r="O163" s="41"/>
      <c r="P163" s="41"/>
      <c r="Q163" s="41"/>
      <c r="R163" s="160"/>
      <c r="S163" s="160"/>
      <c r="T163" s="134"/>
      <c r="U163" s="5"/>
      <c r="X163" s="62"/>
      <c r="Y163" s="5"/>
      <c r="Z163" s="5"/>
      <c r="AA163" s="5"/>
      <c r="AB163" s="41"/>
    </row>
    <row r="164" spans="1:28" hidden="1" outlineLevel="1" x14ac:dyDescent="0.45">
      <c r="A164" s="65"/>
      <c r="B164" s="176" t="s">
        <v>152</v>
      </c>
      <c r="C164" s="76"/>
      <c r="D164" s="177">
        <v>12</v>
      </c>
      <c r="E164" s="49">
        <v>3180</v>
      </c>
      <c r="F164" s="89"/>
      <c r="G164" s="76"/>
      <c r="H164" s="76"/>
      <c r="I164" s="89"/>
      <c r="J164" s="89"/>
      <c r="K164" s="89"/>
      <c r="L164" s="89"/>
      <c r="M164" s="50">
        <v>10313.513513513513</v>
      </c>
      <c r="O164" s="41"/>
      <c r="P164" s="41"/>
      <c r="Q164" s="41"/>
      <c r="R164" s="160"/>
      <c r="S164" s="160"/>
      <c r="T164" s="134"/>
      <c r="U164" s="5"/>
      <c r="X164" s="62"/>
      <c r="Y164" s="5"/>
      <c r="Z164" s="5"/>
      <c r="AA164" s="5"/>
      <c r="AB164" s="41"/>
    </row>
    <row r="165" spans="1:28" hidden="1" outlineLevel="1" x14ac:dyDescent="0.45">
      <c r="A165" s="65"/>
      <c r="B165" s="176" t="s">
        <v>153</v>
      </c>
      <c r="C165" s="76"/>
      <c r="D165" s="177">
        <v>12</v>
      </c>
      <c r="E165" s="49">
        <v>2101.06</v>
      </c>
      <c r="F165" s="89"/>
      <c r="G165" s="76"/>
      <c r="H165" s="76"/>
      <c r="I165" s="89"/>
      <c r="J165" s="89"/>
      <c r="K165" s="89"/>
      <c r="L165" s="89"/>
      <c r="M165" s="50">
        <v>6814.2486486486487</v>
      </c>
      <c r="O165" s="41"/>
      <c r="P165" s="41"/>
      <c r="Q165" s="41"/>
      <c r="R165" s="160"/>
      <c r="S165" s="160"/>
      <c r="T165" s="134"/>
      <c r="U165" s="5"/>
      <c r="X165" s="62"/>
      <c r="Y165" s="5"/>
      <c r="Z165" s="5"/>
      <c r="AA165" s="5"/>
      <c r="AB165" s="41"/>
    </row>
    <row r="166" spans="1:28" hidden="1" outlineLevel="1" x14ac:dyDescent="0.45">
      <c r="A166" s="65"/>
      <c r="B166" s="176" t="s">
        <v>154</v>
      </c>
      <c r="C166" s="76"/>
      <c r="D166" s="177">
        <v>12</v>
      </c>
      <c r="E166" s="49">
        <v>2101.06</v>
      </c>
      <c r="F166" s="89"/>
      <c r="G166" s="76"/>
      <c r="H166" s="76"/>
      <c r="I166" s="89"/>
      <c r="J166" s="89"/>
      <c r="K166" s="89"/>
      <c r="L166" s="89"/>
      <c r="M166" s="50">
        <v>6814.2486486486487</v>
      </c>
      <c r="O166" s="41"/>
      <c r="P166" s="41"/>
      <c r="Q166" s="41"/>
      <c r="R166" s="160"/>
      <c r="S166" s="160"/>
      <c r="T166" s="134"/>
      <c r="U166" s="5"/>
      <c r="X166" s="62"/>
      <c r="Y166" s="5"/>
      <c r="Z166" s="5"/>
      <c r="AA166" s="5"/>
      <c r="AB166" s="41"/>
    </row>
    <row r="167" spans="1:28" hidden="1" outlineLevel="1" x14ac:dyDescent="0.45">
      <c r="A167" s="65"/>
      <c r="B167" s="176" t="s">
        <v>155</v>
      </c>
      <c r="C167" s="76"/>
      <c r="D167" s="177">
        <v>12</v>
      </c>
      <c r="E167" s="49">
        <v>2428.9900000000002</v>
      </c>
      <c r="F167" s="89"/>
      <c r="G167" s="76"/>
      <c r="H167" s="76"/>
      <c r="I167" s="89"/>
      <c r="J167" s="89"/>
      <c r="K167" s="89"/>
      <c r="L167" s="89"/>
      <c r="M167" s="50">
        <v>7877.8054054054064</v>
      </c>
      <c r="O167" s="41"/>
      <c r="P167" s="41"/>
      <c r="Q167" s="41"/>
      <c r="R167" s="160"/>
      <c r="S167" s="160"/>
      <c r="T167" s="134"/>
      <c r="U167" s="5"/>
      <c r="X167" s="62"/>
      <c r="Y167" s="5"/>
      <c r="Z167" s="5"/>
      <c r="AA167" s="5"/>
      <c r="AB167" s="41"/>
    </row>
    <row r="168" spans="1:28" hidden="1" outlineLevel="1" x14ac:dyDescent="0.45">
      <c r="A168" s="65"/>
      <c r="B168" s="176" t="s">
        <v>156</v>
      </c>
      <c r="C168" s="76"/>
      <c r="D168" s="177">
        <v>12</v>
      </c>
      <c r="E168" s="49">
        <v>2507</v>
      </c>
      <c r="F168" s="89"/>
      <c r="G168" s="76"/>
      <c r="H168" s="76"/>
      <c r="I168" s="89"/>
      <c r="J168" s="89"/>
      <c r="K168" s="89"/>
      <c r="L168" s="89"/>
      <c r="M168" s="50">
        <v>8130.8108108108108</v>
      </c>
      <c r="O168" s="41"/>
      <c r="P168" s="41"/>
      <c r="Q168" s="41"/>
      <c r="R168" s="160"/>
      <c r="S168" s="160"/>
      <c r="T168" s="134"/>
      <c r="U168" s="5"/>
      <c r="X168" s="62"/>
      <c r="Y168" s="5"/>
      <c r="Z168" s="5"/>
      <c r="AA168" s="5"/>
      <c r="AB168" s="41"/>
    </row>
    <row r="169" spans="1:28" hidden="1" outlineLevel="1" x14ac:dyDescent="0.45">
      <c r="A169" s="65"/>
      <c r="B169" s="176" t="s">
        <v>157</v>
      </c>
      <c r="C169" s="76"/>
      <c r="D169" s="177">
        <v>12</v>
      </c>
      <c r="E169" s="49">
        <v>1807.8300000000002</v>
      </c>
      <c r="F169" s="89"/>
      <c r="G169" s="76"/>
      <c r="H169" s="76"/>
      <c r="I169" s="89"/>
      <c r="J169" s="89"/>
      <c r="K169" s="89"/>
      <c r="L169" s="89"/>
      <c r="M169" s="50">
        <v>5863.2324324324327</v>
      </c>
      <c r="O169" s="41"/>
      <c r="P169" s="41"/>
      <c r="Q169" s="41"/>
      <c r="R169" s="160"/>
      <c r="S169" s="160"/>
      <c r="T169" s="134"/>
      <c r="U169" s="5"/>
      <c r="X169" s="62"/>
      <c r="Y169" s="5"/>
      <c r="Z169" s="5"/>
      <c r="AA169" s="5"/>
      <c r="AB169" s="41"/>
    </row>
    <row r="170" spans="1:28" hidden="1" outlineLevel="1" x14ac:dyDescent="0.45">
      <c r="A170" s="65"/>
      <c r="B170" s="176" t="s">
        <v>158</v>
      </c>
      <c r="C170" s="76"/>
      <c r="D170" s="177">
        <v>12</v>
      </c>
      <c r="E170" s="49">
        <v>2332</v>
      </c>
      <c r="F170" s="89"/>
      <c r="G170" s="76"/>
      <c r="H170" s="76"/>
      <c r="I170" s="89"/>
      <c r="J170" s="89"/>
      <c r="K170" s="89"/>
      <c r="L170" s="89"/>
      <c r="M170" s="50">
        <v>7563.2432432432424</v>
      </c>
      <c r="O170" s="41"/>
      <c r="P170" s="41"/>
      <c r="Q170" s="41"/>
      <c r="R170" s="160"/>
      <c r="S170" s="160"/>
      <c r="T170" s="134"/>
      <c r="U170" s="5"/>
      <c r="X170" s="62"/>
      <c r="Y170" s="5"/>
      <c r="Z170" s="5"/>
      <c r="AA170" s="5"/>
      <c r="AB170" s="41"/>
    </row>
    <row r="171" spans="1:28" hidden="1" outlineLevel="1" x14ac:dyDescent="0.45">
      <c r="A171" s="65"/>
      <c r="B171" s="176" t="s">
        <v>159</v>
      </c>
      <c r="C171" s="76"/>
      <c r="D171" s="177">
        <v>12</v>
      </c>
      <c r="E171" s="49">
        <v>2291.7250000000004</v>
      </c>
      <c r="F171" s="89"/>
      <c r="G171" s="76"/>
      <c r="H171" s="76"/>
      <c r="I171" s="89"/>
      <c r="J171" s="89"/>
      <c r="K171" s="89"/>
      <c r="L171" s="89"/>
      <c r="M171" s="50">
        <v>7432.6216216216226</v>
      </c>
      <c r="O171" s="41"/>
      <c r="P171" s="62"/>
      <c r="Q171" s="41"/>
      <c r="R171" s="160"/>
      <c r="S171" s="160"/>
      <c r="T171" s="134"/>
      <c r="U171" s="5"/>
      <c r="X171" s="62"/>
      <c r="Y171" s="5"/>
      <c r="Z171" s="5"/>
      <c r="AA171" s="5"/>
      <c r="AB171" s="41"/>
    </row>
    <row r="172" spans="1:28" hidden="1" outlineLevel="1" x14ac:dyDescent="0.45">
      <c r="A172" s="65"/>
      <c r="B172" s="176" t="s">
        <v>160</v>
      </c>
      <c r="C172" s="76"/>
      <c r="D172" s="177">
        <v>12</v>
      </c>
      <c r="E172" s="49">
        <v>1807.8300000000002</v>
      </c>
      <c r="F172" s="89"/>
      <c r="G172" s="76"/>
      <c r="H172" s="76"/>
      <c r="I172" s="89"/>
      <c r="J172" s="89"/>
      <c r="K172" s="89"/>
      <c r="L172" s="89"/>
      <c r="M172" s="50">
        <v>5863.2324324324327</v>
      </c>
      <c r="O172" s="41"/>
      <c r="P172" s="62"/>
      <c r="Q172" s="41"/>
      <c r="R172" s="160"/>
      <c r="S172" s="160"/>
      <c r="T172" s="134"/>
      <c r="U172" s="5"/>
      <c r="X172" s="62"/>
      <c r="Y172" s="5"/>
      <c r="Z172" s="5"/>
      <c r="AA172" s="5"/>
      <c r="AB172" s="41"/>
    </row>
    <row r="173" spans="1:28" hidden="1" outlineLevel="1" x14ac:dyDescent="0.45">
      <c r="A173" s="65"/>
      <c r="B173" s="176" t="s">
        <v>160</v>
      </c>
      <c r="C173" s="76"/>
      <c r="D173" s="177">
        <v>12</v>
      </c>
      <c r="E173" s="49">
        <v>1807.8300000000002</v>
      </c>
      <c r="F173" s="89"/>
      <c r="G173" s="76"/>
      <c r="H173" s="76"/>
      <c r="I173" s="89"/>
      <c r="J173" s="89"/>
      <c r="K173" s="89"/>
      <c r="L173" s="89"/>
      <c r="M173" s="50">
        <v>5863.2324324324327</v>
      </c>
      <c r="O173" s="41"/>
      <c r="P173" s="62"/>
      <c r="Q173" s="41"/>
      <c r="R173" s="160"/>
      <c r="S173" s="160"/>
      <c r="T173" s="134"/>
      <c r="U173" s="5"/>
      <c r="X173" s="62"/>
      <c r="Y173" s="5"/>
      <c r="Z173" s="5"/>
      <c r="AA173" s="5"/>
      <c r="AB173" s="41"/>
    </row>
    <row r="174" spans="1:28" hidden="1" outlineLevel="1" x14ac:dyDescent="0.45">
      <c r="A174" s="65"/>
      <c r="B174" s="176" t="s">
        <v>160</v>
      </c>
      <c r="C174" s="76"/>
      <c r="D174" s="177">
        <v>12</v>
      </c>
      <c r="E174" s="49">
        <v>1807.8300000000002</v>
      </c>
      <c r="F174" s="89"/>
      <c r="G174" s="76"/>
      <c r="H174" s="76"/>
      <c r="I174" s="89"/>
      <c r="J174" s="89"/>
      <c r="K174" s="89"/>
      <c r="L174" s="89"/>
      <c r="M174" s="50">
        <v>5863.2324324324327</v>
      </c>
      <c r="O174" s="41"/>
      <c r="P174" s="62"/>
      <c r="Q174" s="41"/>
      <c r="R174" s="160"/>
      <c r="S174" s="160"/>
      <c r="T174" s="134"/>
      <c r="U174" s="5"/>
      <c r="X174" s="62"/>
      <c r="Y174" s="5"/>
      <c r="Z174" s="5"/>
      <c r="AA174" s="5"/>
      <c r="AB174" s="41"/>
    </row>
    <row r="175" spans="1:28" hidden="1" outlineLevel="1" x14ac:dyDescent="0.45">
      <c r="A175" s="65"/>
      <c r="B175" s="176" t="s">
        <v>161</v>
      </c>
      <c r="C175" s="76"/>
      <c r="D175" s="177">
        <v>12</v>
      </c>
      <c r="E175" s="49">
        <v>2334.65</v>
      </c>
      <c r="F175" s="89"/>
      <c r="G175" s="76"/>
      <c r="H175" s="76"/>
      <c r="I175" s="89"/>
      <c r="J175" s="89"/>
      <c r="K175" s="89"/>
      <c r="L175" s="89"/>
      <c r="M175" s="50">
        <v>7571.8378378378384</v>
      </c>
      <c r="O175" s="41"/>
      <c r="P175" s="62"/>
      <c r="Q175" s="41"/>
      <c r="R175" s="160"/>
      <c r="S175" s="160"/>
      <c r="T175" s="134"/>
      <c r="U175" s="5"/>
      <c r="X175" s="62"/>
      <c r="Y175" s="5"/>
      <c r="Z175" s="5"/>
      <c r="AA175" s="5"/>
      <c r="AB175" s="41"/>
    </row>
    <row r="176" spans="1:28" hidden="1" outlineLevel="1" x14ac:dyDescent="0.45">
      <c r="A176" s="65"/>
      <c r="B176" s="176" t="s">
        <v>162</v>
      </c>
      <c r="C176" s="76"/>
      <c r="D176" s="177">
        <v>12</v>
      </c>
      <c r="E176" s="49">
        <v>1807.8300000000002</v>
      </c>
      <c r="F176" s="89"/>
      <c r="G176" s="76"/>
      <c r="H176" s="76"/>
      <c r="I176" s="89"/>
      <c r="J176" s="89"/>
      <c r="K176" s="89"/>
      <c r="L176" s="89"/>
      <c r="M176" s="50">
        <v>5863.2324324324327</v>
      </c>
      <c r="O176" s="41"/>
      <c r="P176" s="62"/>
      <c r="Q176" s="41"/>
      <c r="R176" s="160"/>
      <c r="S176" s="160"/>
      <c r="T176" s="134"/>
      <c r="U176" s="5"/>
      <c r="X176" s="62"/>
      <c r="Y176" s="5"/>
      <c r="Z176" s="5"/>
      <c r="AA176" s="5"/>
      <c r="AB176" s="41"/>
    </row>
    <row r="177" spans="1:87" hidden="1" outlineLevel="1" x14ac:dyDescent="0.45">
      <c r="A177" s="65"/>
      <c r="B177" s="176" t="s">
        <v>163</v>
      </c>
      <c r="C177" s="76"/>
      <c r="D177" s="177">
        <v>12</v>
      </c>
      <c r="E177" s="49">
        <v>2120</v>
      </c>
      <c r="F177" s="89"/>
      <c r="G177" s="76"/>
      <c r="H177" s="76"/>
      <c r="I177" s="89"/>
      <c r="J177" s="89"/>
      <c r="K177" s="89"/>
      <c r="L177" s="89"/>
      <c r="M177" s="50">
        <v>6875.6756756756749</v>
      </c>
      <c r="O177" s="41"/>
      <c r="P177" s="62"/>
      <c r="Q177" s="41"/>
      <c r="R177" s="160"/>
      <c r="S177" s="160"/>
      <c r="T177" s="134"/>
      <c r="U177" s="5"/>
      <c r="X177" s="62"/>
      <c r="Y177" s="5"/>
      <c r="Z177" s="5"/>
      <c r="AA177" s="5"/>
      <c r="AB177" s="41"/>
    </row>
    <row r="178" spans="1:87" hidden="1" outlineLevel="1" x14ac:dyDescent="0.45">
      <c r="A178" s="65"/>
      <c r="B178" s="176" t="s">
        <v>164</v>
      </c>
      <c r="C178" s="76"/>
      <c r="D178" s="177">
        <v>12</v>
      </c>
      <c r="E178" s="49">
        <v>1807.8300000000002</v>
      </c>
      <c r="F178" s="89"/>
      <c r="G178" s="76"/>
      <c r="H178" s="76"/>
      <c r="I178" s="89"/>
      <c r="J178" s="89"/>
      <c r="K178" s="89"/>
      <c r="L178" s="89"/>
      <c r="M178" s="50">
        <v>5863.2324324324327</v>
      </c>
      <c r="O178" s="41"/>
      <c r="P178" s="62"/>
      <c r="Q178" s="41"/>
      <c r="R178" s="160"/>
      <c r="S178" s="160"/>
      <c r="T178" s="134"/>
      <c r="U178" s="5"/>
      <c r="X178" s="62"/>
      <c r="Y178" s="5"/>
      <c r="Z178" s="5"/>
      <c r="AA178" s="5"/>
      <c r="AB178" s="41"/>
    </row>
    <row r="179" spans="1:87" hidden="1" outlineLevel="1" x14ac:dyDescent="0.45">
      <c r="A179" s="65"/>
      <c r="B179" s="176" t="s">
        <v>165</v>
      </c>
      <c r="C179" s="76"/>
      <c r="D179" s="177">
        <v>12</v>
      </c>
      <c r="E179" s="49">
        <v>1808.89</v>
      </c>
      <c r="F179" s="89"/>
      <c r="G179" s="76"/>
      <c r="H179" s="76"/>
      <c r="I179" s="89"/>
      <c r="J179" s="89"/>
      <c r="K179" s="89"/>
      <c r="L179" s="89"/>
      <c r="M179" s="50">
        <v>5866.6702702702705</v>
      </c>
      <c r="O179" s="41"/>
      <c r="P179" s="62"/>
      <c r="Q179" s="41"/>
      <c r="R179" s="160"/>
      <c r="S179" s="160"/>
      <c r="T179" s="134"/>
      <c r="U179" s="5"/>
      <c r="X179" s="62"/>
      <c r="Y179" s="5"/>
      <c r="Z179" s="5"/>
      <c r="AA179" s="5"/>
      <c r="AB179" s="41"/>
    </row>
    <row r="180" spans="1:87" hidden="1" outlineLevel="1" x14ac:dyDescent="0.45">
      <c r="A180" s="65"/>
      <c r="B180" s="176" t="s">
        <v>166</v>
      </c>
      <c r="C180" s="76"/>
      <c r="D180" s="177">
        <v>13</v>
      </c>
      <c r="E180" s="49">
        <v>1808.89</v>
      </c>
      <c r="F180" s="89"/>
      <c r="G180" s="76"/>
      <c r="H180" s="76"/>
      <c r="I180" s="89"/>
      <c r="J180" s="89"/>
      <c r="K180" s="89"/>
      <c r="L180" s="89"/>
      <c r="M180" s="50">
        <v>6355.5594594594595</v>
      </c>
      <c r="O180" s="41"/>
      <c r="P180" s="62"/>
      <c r="Q180" s="41"/>
      <c r="R180" s="160"/>
      <c r="S180" s="160"/>
      <c r="T180" s="134"/>
      <c r="U180" s="5"/>
      <c r="X180" s="62"/>
      <c r="Y180" s="5"/>
      <c r="Z180" s="5"/>
      <c r="AA180" s="5"/>
      <c r="AB180" s="41"/>
    </row>
    <row r="181" spans="1:87" hidden="1" outlineLevel="1" x14ac:dyDescent="0.45">
      <c r="A181" s="65"/>
      <c r="B181" s="176" t="s">
        <v>167</v>
      </c>
      <c r="C181" s="76"/>
      <c r="D181" s="177">
        <v>12</v>
      </c>
      <c r="E181" s="49">
        <v>2228.65</v>
      </c>
      <c r="F181" s="89"/>
      <c r="G181" s="76"/>
      <c r="H181" s="76"/>
      <c r="I181" s="89"/>
      <c r="J181" s="89"/>
      <c r="K181" s="89"/>
      <c r="L181" s="89"/>
      <c r="M181" s="50">
        <v>7228.0540540540542</v>
      </c>
      <c r="O181" s="41"/>
      <c r="P181" s="62"/>
      <c r="Q181" s="41"/>
      <c r="R181" s="160"/>
      <c r="S181" s="160"/>
      <c r="T181" s="134"/>
      <c r="U181" s="5"/>
      <c r="X181" s="62"/>
      <c r="Y181" s="5"/>
      <c r="Z181" s="5"/>
      <c r="AA181" s="5"/>
      <c r="AB181" s="41"/>
    </row>
    <row r="182" spans="1:87" hidden="1" outlineLevel="1" x14ac:dyDescent="0.45">
      <c r="A182" s="65"/>
      <c r="B182" s="180" t="s">
        <v>168</v>
      </c>
      <c r="C182" s="180"/>
      <c r="D182" s="181">
        <v>12</v>
      </c>
      <c r="E182" s="181">
        <v>1908</v>
      </c>
      <c r="F182" s="182"/>
      <c r="G182" s="180"/>
      <c r="H182" s="180"/>
      <c r="I182" s="182"/>
      <c r="J182" s="182"/>
      <c r="K182" s="182"/>
      <c r="L182" s="182"/>
      <c r="M182" s="183">
        <v>6188.1081081081074</v>
      </c>
      <c r="O182" s="41"/>
      <c r="P182" s="62"/>
      <c r="Q182" s="41"/>
      <c r="R182" s="160"/>
      <c r="S182" s="160"/>
      <c r="T182" s="134"/>
      <c r="U182" s="5"/>
      <c r="X182" s="62"/>
      <c r="Y182" s="5"/>
      <c r="Z182" s="5"/>
      <c r="AA182" s="5"/>
      <c r="AB182" s="41"/>
    </row>
    <row r="183" spans="1:87" hidden="1" outlineLevel="1" x14ac:dyDescent="0.45">
      <c r="A183" s="65"/>
      <c r="B183" s="180" t="s">
        <v>169</v>
      </c>
      <c r="C183" s="180"/>
      <c r="D183" s="184">
        <v>12</v>
      </c>
      <c r="E183" s="181">
        <v>1696</v>
      </c>
      <c r="F183" s="180"/>
      <c r="G183" s="180"/>
      <c r="H183" s="180"/>
      <c r="I183" s="182"/>
      <c r="J183" s="182"/>
      <c r="K183" s="182"/>
      <c r="L183" s="182"/>
      <c r="M183" s="183">
        <v>5500.54054054054</v>
      </c>
      <c r="O183" s="41"/>
      <c r="P183" s="62"/>
      <c r="Q183" s="41"/>
      <c r="R183" s="160"/>
      <c r="S183" s="160"/>
      <c r="T183" s="134"/>
      <c r="U183" s="5"/>
      <c r="X183" s="62"/>
      <c r="Y183" s="5"/>
      <c r="Z183" s="5"/>
      <c r="AA183" s="5"/>
      <c r="AB183" s="41"/>
    </row>
    <row r="184" spans="1:87" hidden="1" outlineLevel="1" x14ac:dyDescent="0.45">
      <c r="A184" s="65"/>
      <c r="B184" s="176"/>
      <c r="C184" s="76"/>
      <c r="D184" s="177"/>
      <c r="E184" s="49"/>
      <c r="F184" s="89"/>
      <c r="G184" s="76"/>
      <c r="H184" s="76"/>
      <c r="I184" s="89"/>
      <c r="J184" s="89"/>
      <c r="K184" s="89"/>
      <c r="L184" s="89"/>
      <c r="M184" s="50"/>
      <c r="O184" s="41"/>
      <c r="P184" s="62"/>
      <c r="Q184" s="41"/>
      <c r="R184" s="160"/>
      <c r="S184" s="160"/>
      <c r="T184" s="134"/>
      <c r="U184" s="5"/>
      <c r="X184" s="62"/>
      <c r="Y184" s="5"/>
      <c r="Z184" s="5"/>
      <c r="AA184" s="5"/>
      <c r="AB184" s="41"/>
    </row>
    <row r="185" spans="1:87" hidden="1" outlineLevel="1" x14ac:dyDescent="0.45">
      <c r="A185" s="65"/>
      <c r="B185" s="176"/>
      <c r="C185" s="76"/>
      <c r="D185" s="177"/>
      <c r="E185" s="49"/>
      <c r="F185" s="89"/>
      <c r="G185" s="76"/>
      <c r="H185" s="76"/>
      <c r="I185" s="89"/>
      <c r="J185" s="89"/>
      <c r="K185" s="89"/>
      <c r="L185" s="89"/>
      <c r="M185" s="50"/>
      <c r="O185" s="41"/>
      <c r="P185" s="62"/>
      <c r="Q185" s="41"/>
      <c r="R185" s="160"/>
      <c r="S185" s="160"/>
      <c r="T185" s="134"/>
      <c r="U185" s="5"/>
      <c r="X185" s="62"/>
      <c r="Y185" s="5"/>
      <c r="Z185" s="5"/>
      <c r="AA185" s="5"/>
      <c r="AB185" s="41"/>
    </row>
    <row r="186" spans="1:87" ht="3.75" customHeight="1" x14ac:dyDescent="0.45">
      <c r="A186" s="43"/>
      <c r="B186" s="97"/>
      <c r="C186" s="98"/>
      <c r="M186" s="5"/>
      <c r="O186" s="41">
        <f t="shared" si="28"/>
        <v>0</v>
      </c>
      <c r="P186" s="62"/>
      <c r="Q186" s="41">
        <f t="shared" si="29"/>
        <v>0</v>
      </c>
      <c r="R186" s="160">
        <f t="shared" si="25"/>
        <v>0</v>
      </c>
      <c r="S186" s="160">
        <f t="shared" si="26"/>
        <v>0</v>
      </c>
      <c r="T186" s="134"/>
      <c r="U186" s="5"/>
      <c r="X186" s="5"/>
      <c r="Y186" s="5"/>
      <c r="Z186" s="5"/>
      <c r="AA186" s="5"/>
      <c r="AB186" s="5"/>
    </row>
    <row r="187" spans="1:87" outlineLevel="1" x14ac:dyDescent="0.45">
      <c r="A187" s="43"/>
      <c r="B187" s="180"/>
      <c r="C187" s="180"/>
      <c r="D187" s="180"/>
      <c r="E187" s="185"/>
      <c r="F187" s="182"/>
      <c r="G187" s="180"/>
      <c r="H187" s="180"/>
      <c r="I187" s="182"/>
      <c r="J187" s="182"/>
      <c r="K187" s="182"/>
      <c r="L187" s="182"/>
      <c r="M187" s="183"/>
      <c r="O187" s="159">
        <f t="shared" si="28"/>
        <v>0</v>
      </c>
      <c r="P187" s="159"/>
      <c r="Q187" s="159">
        <f t="shared" si="29"/>
        <v>0</v>
      </c>
      <c r="R187" s="160">
        <f t="shared" si="25"/>
        <v>0</v>
      </c>
      <c r="S187" s="160">
        <f t="shared" si="26"/>
        <v>0</v>
      </c>
      <c r="T187" s="134"/>
      <c r="U187" s="5"/>
      <c r="X187" s="5"/>
      <c r="Y187" s="5"/>
      <c r="Z187" s="5"/>
      <c r="AA187" s="5"/>
      <c r="AB187" s="41"/>
      <c r="AD187" s="186"/>
      <c r="CA187" s="187">
        <f>(1650+93)*1.09+767*1.09</f>
        <v>2735.9</v>
      </c>
      <c r="CB187" s="188">
        <f t="shared" ref="CB187:CB212" si="31">+E187/CA187-1</f>
        <v>-1</v>
      </c>
      <c r="CC187" s="49">
        <f t="shared" ref="CC187:CC212" si="32">+E187-CA187</f>
        <v>-2735.9</v>
      </c>
      <c r="CD187" s="143">
        <f>+CA187*12</f>
        <v>32830.800000000003</v>
      </c>
      <c r="CE187" s="143">
        <f>+E187*15</f>
        <v>0</v>
      </c>
      <c r="CF187" s="189">
        <f>+CE187/CD187-1</f>
        <v>-1</v>
      </c>
      <c r="CG187" s="143">
        <f>+CE187-CD187</f>
        <v>-32830.800000000003</v>
      </c>
      <c r="CH187" s="2">
        <f>1650+767</f>
        <v>2417</v>
      </c>
      <c r="CI187" s="2">
        <f>1950+767</f>
        <v>2717</v>
      </c>
    </row>
    <row r="188" spans="1:87" ht="3" customHeight="1" x14ac:dyDescent="0.45">
      <c r="A188" s="43"/>
      <c r="B188" s="97"/>
      <c r="C188" s="98"/>
      <c r="M188" s="5"/>
      <c r="O188" s="159">
        <f t="shared" si="28"/>
        <v>0</v>
      </c>
      <c r="P188" s="159"/>
      <c r="Q188" s="159">
        <f t="shared" si="29"/>
        <v>0</v>
      </c>
      <c r="R188" s="160">
        <f t="shared" si="25"/>
        <v>0</v>
      </c>
      <c r="S188" s="160">
        <f t="shared" si="26"/>
        <v>0</v>
      </c>
      <c r="T188" s="134"/>
      <c r="CA188" s="187">
        <f>(1455+93)*1.07+785*1.07</f>
        <v>2496.3100000000004</v>
      </c>
      <c r="CB188" s="188">
        <f t="shared" si="31"/>
        <v>-1</v>
      </c>
      <c r="CC188" s="49">
        <f t="shared" si="32"/>
        <v>-2496.3100000000004</v>
      </c>
    </row>
    <row r="189" spans="1:87" ht="5.25" customHeight="1" x14ac:dyDescent="0.45">
      <c r="A189" s="65"/>
      <c r="B189" s="124"/>
      <c r="C189" s="88"/>
      <c r="D189" s="89"/>
      <c r="E189" s="89"/>
      <c r="F189" s="51"/>
      <c r="G189" s="89"/>
      <c r="H189" s="89"/>
      <c r="I189" s="51"/>
      <c r="J189" s="51"/>
      <c r="K189" s="51"/>
      <c r="L189" s="51"/>
      <c r="M189" s="51"/>
      <c r="O189" s="159">
        <f>+M189/$M$8</f>
        <v>0</v>
      </c>
      <c r="P189" s="159"/>
      <c r="Q189" s="159">
        <f>+M189/$M$8</f>
        <v>0</v>
      </c>
      <c r="R189" s="160">
        <f t="shared" si="25"/>
        <v>0</v>
      </c>
      <c r="S189" s="160">
        <f t="shared" si="26"/>
        <v>0</v>
      </c>
      <c r="T189" s="134"/>
      <c r="CA189" s="187">
        <f>(1455+93)*1.07+785*1.07</f>
        <v>2496.3100000000004</v>
      </c>
      <c r="CB189" s="188">
        <f t="shared" si="31"/>
        <v>-1</v>
      </c>
      <c r="CC189" s="49">
        <f t="shared" si="32"/>
        <v>-2496.3100000000004</v>
      </c>
      <c r="CD189" s="143"/>
      <c r="CE189" s="143"/>
      <c r="CF189" s="190"/>
    </row>
    <row r="190" spans="1:87" x14ac:dyDescent="0.45">
      <c r="A190" s="135">
        <v>17.100000000000001</v>
      </c>
      <c r="B190" s="161" t="s">
        <v>70</v>
      </c>
      <c r="C190" s="162"/>
      <c r="D190" s="163"/>
      <c r="E190" s="163"/>
      <c r="F190" s="164"/>
      <c r="G190" s="163"/>
      <c r="H190" s="163"/>
      <c r="I190" s="164"/>
      <c r="J190" s="164"/>
      <c r="K190" s="164"/>
      <c r="L190" s="164"/>
      <c r="M190" s="164">
        <f>+M193+M202+M206+M207+M208+M209+M210</f>
        <v>123750.54054054055</v>
      </c>
      <c r="N190" s="52"/>
      <c r="O190" s="191">
        <f>+($M$190/$M$8)/1.18</f>
        <v>218.03189073001261</v>
      </c>
      <c r="P190" s="191">
        <f t="shared" ref="P190:Q190" si="33">+($M$190/$M$8)/1.18</f>
        <v>218.03189073001261</v>
      </c>
      <c r="Q190" s="191">
        <f t="shared" si="33"/>
        <v>218.03189073001261</v>
      </c>
      <c r="R190" s="164">
        <f t="shared" si="25"/>
        <v>74784.938520394324</v>
      </c>
      <c r="S190" s="164">
        <f t="shared" si="26"/>
        <v>4796.7015960602776</v>
      </c>
      <c r="T190" s="134"/>
      <c r="CA190" s="187">
        <f>(1455+93)*1.07+785*1.07</f>
        <v>2496.3100000000004</v>
      </c>
      <c r="CB190" s="188">
        <f t="shared" si="31"/>
        <v>-1</v>
      </c>
      <c r="CC190" s="49">
        <f t="shared" si="32"/>
        <v>-2496.3100000000004</v>
      </c>
      <c r="CD190" s="143"/>
      <c r="CE190" s="143"/>
      <c r="CF190" s="190"/>
    </row>
    <row r="191" spans="1:87" hidden="1" outlineLevel="1" x14ac:dyDescent="0.45">
      <c r="A191" s="65"/>
      <c r="B191" s="113" t="s">
        <v>170</v>
      </c>
      <c r="C191" s="114"/>
      <c r="D191" s="118">
        <v>12</v>
      </c>
      <c r="E191" s="115">
        <v>2360</v>
      </c>
      <c r="F191" s="166"/>
      <c r="G191" s="118"/>
      <c r="H191" s="118"/>
      <c r="I191" s="166"/>
      <c r="J191" s="166"/>
      <c r="K191" s="166"/>
      <c r="L191" s="166"/>
      <c r="M191" s="116">
        <v>0</v>
      </c>
      <c r="O191" s="159">
        <f>+M191/$M$8</f>
        <v>0</v>
      </c>
      <c r="P191" s="159"/>
      <c r="Q191" s="159">
        <f>+M191/$M$8</f>
        <v>0</v>
      </c>
      <c r="R191" s="160">
        <f t="shared" si="25"/>
        <v>0</v>
      </c>
      <c r="S191" s="160">
        <f t="shared" si="26"/>
        <v>0</v>
      </c>
      <c r="T191" s="134"/>
      <c r="CA191" s="49">
        <f>1893*1.07</f>
        <v>2025.5100000000002</v>
      </c>
      <c r="CB191" s="188">
        <f t="shared" si="31"/>
        <v>0.1651386564371442</v>
      </c>
      <c r="CC191" s="49">
        <f t="shared" si="32"/>
        <v>334.48999999999978</v>
      </c>
    </row>
    <row r="192" spans="1:87" hidden="1" outlineLevel="1" x14ac:dyDescent="0.45">
      <c r="A192" s="65"/>
      <c r="B192" s="111"/>
      <c r="C192" s="66"/>
      <c r="D192" s="76"/>
      <c r="E192" s="49"/>
      <c r="F192" s="89"/>
      <c r="G192" s="76"/>
      <c r="H192" s="76"/>
      <c r="I192" s="89"/>
      <c r="J192" s="89"/>
      <c r="K192" s="89"/>
      <c r="L192" s="89"/>
      <c r="M192" s="50"/>
      <c r="O192" s="159">
        <f>+M192/$M$8</f>
        <v>0</v>
      </c>
      <c r="P192" s="159"/>
      <c r="Q192" s="159">
        <f>+M192/$M$8</f>
        <v>0</v>
      </c>
      <c r="R192" s="160">
        <f t="shared" si="25"/>
        <v>0</v>
      </c>
      <c r="S192" s="160">
        <f t="shared" si="26"/>
        <v>0</v>
      </c>
      <c r="T192" s="134"/>
      <c r="CA192" s="49">
        <f>(1455+93)*1.07</f>
        <v>1656.3600000000001</v>
      </c>
      <c r="CB192" s="188">
        <f t="shared" si="31"/>
        <v>-1</v>
      </c>
      <c r="CC192" s="49">
        <f t="shared" si="32"/>
        <v>-1656.3600000000001</v>
      </c>
    </row>
    <row r="193" spans="1:92" outlineLevel="1" x14ac:dyDescent="0.45">
      <c r="A193" s="65"/>
      <c r="B193" s="192" t="s">
        <v>171</v>
      </c>
      <c r="C193" s="76"/>
      <c r="D193" s="76">
        <v>12</v>
      </c>
      <c r="E193" s="76">
        <v>1770</v>
      </c>
      <c r="F193" s="89"/>
      <c r="G193" s="76"/>
      <c r="H193" s="76"/>
      <c r="I193" s="89"/>
      <c r="J193" s="89"/>
      <c r="K193" s="89"/>
      <c r="L193" s="89"/>
      <c r="M193" s="50">
        <v>5740.54054054054</v>
      </c>
      <c r="O193" s="159">
        <f>+(M193/$M$8)</f>
        <v>11.934595718379502</v>
      </c>
      <c r="P193" s="159"/>
      <c r="Q193" s="159">
        <f>+M193/$M$8</f>
        <v>11.934595718379502</v>
      </c>
      <c r="R193" s="160">
        <f t="shared" si="25"/>
        <v>4093.566331404169</v>
      </c>
      <c r="S193" s="160">
        <f t="shared" si="26"/>
        <v>262.56110580434904</v>
      </c>
      <c r="T193" s="134"/>
      <c r="CA193" s="49">
        <f>1560*1.09*6</f>
        <v>10202.400000000001</v>
      </c>
      <c r="CB193" s="188">
        <f t="shared" si="31"/>
        <v>-0.82651140908021647</v>
      </c>
      <c r="CC193" s="49">
        <f t="shared" si="32"/>
        <v>-8432.4000000000015</v>
      </c>
    </row>
    <row r="194" spans="1:92" hidden="1" outlineLevel="1" x14ac:dyDescent="0.45">
      <c r="A194" s="65"/>
      <c r="B194" s="193" t="s">
        <v>172</v>
      </c>
      <c r="C194" s="118"/>
      <c r="D194" s="118">
        <v>12</v>
      </c>
      <c r="E194" s="118">
        <v>450</v>
      </c>
      <c r="F194" s="166"/>
      <c r="G194" s="118"/>
      <c r="H194" s="118"/>
      <c r="I194" s="166"/>
      <c r="J194" s="166"/>
      <c r="K194" s="166"/>
      <c r="L194" s="166"/>
      <c r="M194" s="116">
        <v>0</v>
      </c>
      <c r="O194" s="159"/>
      <c r="P194" s="159"/>
      <c r="Q194" s="159"/>
      <c r="R194" s="160"/>
      <c r="S194" s="160"/>
      <c r="T194" s="134"/>
      <c r="CA194" s="49"/>
      <c r="CB194" s="188"/>
      <c r="CC194" s="49"/>
    </row>
    <row r="195" spans="1:92" hidden="1" outlineLevel="1" x14ac:dyDescent="0.45">
      <c r="A195" s="65"/>
      <c r="B195" s="193" t="s">
        <v>173</v>
      </c>
      <c r="C195" s="118"/>
      <c r="D195" s="118">
        <v>12</v>
      </c>
      <c r="E195" s="118">
        <v>855</v>
      </c>
      <c r="F195" s="166"/>
      <c r="G195" s="118"/>
      <c r="H195" s="118"/>
      <c r="I195" s="166"/>
      <c r="J195" s="166"/>
      <c r="K195" s="166"/>
      <c r="L195" s="166"/>
      <c r="M195" s="194">
        <v>0</v>
      </c>
      <c r="O195" s="159">
        <f>+(M195/$M$8)/1.18</f>
        <v>0</v>
      </c>
      <c r="P195" s="159"/>
      <c r="Q195" s="159">
        <f>+(M195/$M$8)/1.18</f>
        <v>0</v>
      </c>
      <c r="R195" s="160">
        <f t="shared" si="25"/>
        <v>0</v>
      </c>
      <c r="S195" s="160">
        <f t="shared" si="26"/>
        <v>0</v>
      </c>
      <c r="T195" s="134"/>
      <c r="CA195" s="49">
        <f>1455*1.07+300*1.07</f>
        <v>1877.8500000000001</v>
      </c>
      <c r="CB195" s="188">
        <f t="shared" si="31"/>
        <v>-0.54469206805655412</v>
      </c>
      <c r="CC195" s="49">
        <f t="shared" si="32"/>
        <v>-1022.8500000000001</v>
      </c>
    </row>
    <row r="196" spans="1:92" hidden="1" outlineLevel="1" x14ac:dyDescent="0.45">
      <c r="A196" s="65"/>
      <c r="B196" s="193" t="s">
        <v>174</v>
      </c>
      <c r="C196" s="118"/>
      <c r="D196" s="118">
        <v>1</v>
      </c>
      <c r="E196" s="118">
        <v>5457.5</v>
      </c>
      <c r="F196" s="166"/>
      <c r="G196" s="118"/>
      <c r="H196" s="118"/>
      <c r="I196" s="166"/>
      <c r="J196" s="166"/>
      <c r="K196" s="166"/>
      <c r="L196" s="166"/>
      <c r="M196" s="194">
        <v>0</v>
      </c>
      <c r="O196" s="159"/>
      <c r="P196" s="159"/>
      <c r="Q196" s="159"/>
      <c r="R196" s="160"/>
      <c r="S196" s="160"/>
      <c r="T196" s="134"/>
      <c r="CA196" s="49"/>
      <c r="CB196" s="188"/>
      <c r="CC196" s="49"/>
    </row>
    <row r="197" spans="1:92" hidden="1" outlineLevel="1" x14ac:dyDescent="0.45">
      <c r="A197" s="65"/>
      <c r="B197" s="193" t="s">
        <v>175</v>
      </c>
      <c r="C197" s="118"/>
      <c r="D197" s="118">
        <v>52</v>
      </c>
      <c r="E197" s="118">
        <v>840</v>
      </c>
      <c r="F197" s="166"/>
      <c r="G197" s="118"/>
      <c r="H197" s="118"/>
      <c r="I197" s="166"/>
      <c r="J197" s="166"/>
      <c r="K197" s="166"/>
      <c r="L197" s="166"/>
      <c r="M197" s="194">
        <v>0</v>
      </c>
      <c r="O197" s="159"/>
      <c r="P197" s="159"/>
      <c r="Q197" s="159"/>
      <c r="R197" s="160"/>
      <c r="S197" s="160"/>
      <c r="T197" s="134"/>
      <c r="CA197" s="49"/>
      <c r="CB197" s="188"/>
      <c r="CC197" s="49"/>
    </row>
    <row r="198" spans="1:92" hidden="1" outlineLevel="1" x14ac:dyDescent="0.45">
      <c r="A198" s="65"/>
      <c r="B198" s="193" t="s">
        <v>176</v>
      </c>
      <c r="C198" s="118"/>
      <c r="D198" s="118">
        <v>1</v>
      </c>
      <c r="E198" s="118">
        <v>200</v>
      </c>
      <c r="F198" s="166"/>
      <c r="G198" s="118"/>
      <c r="H198" s="118"/>
      <c r="I198" s="166"/>
      <c r="J198" s="166"/>
      <c r="K198" s="166"/>
      <c r="L198" s="166"/>
      <c r="M198" s="194">
        <v>0</v>
      </c>
      <c r="O198" s="159"/>
      <c r="P198" s="159"/>
      <c r="Q198" s="159"/>
      <c r="R198" s="160"/>
      <c r="S198" s="160"/>
      <c r="T198" s="134"/>
      <c r="CA198" s="49"/>
      <c r="CB198" s="188"/>
      <c r="CC198" s="49"/>
    </row>
    <row r="199" spans="1:92" hidden="1" outlineLevel="1" x14ac:dyDescent="0.45">
      <c r="A199" s="65"/>
      <c r="B199" s="192"/>
      <c r="C199" s="76"/>
      <c r="D199" s="76"/>
      <c r="E199" s="76"/>
      <c r="F199" s="89"/>
      <c r="G199" s="76"/>
      <c r="H199" s="76"/>
      <c r="I199" s="89"/>
      <c r="J199" s="89"/>
      <c r="K199" s="89"/>
      <c r="L199" s="89"/>
      <c r="M199" s="146"/>
      <c r="O199" s="159"/>
      <c r="P199" s="159"/>
      <c r="Q199" s="159"/>
      <c r="R199" s="160"/>
      <c r="S199" s="160"/>
      <c r="T199" s="134"/>
      <c r="CA199" s="49"/>
      <c r="CB199" s="188"/>
      <c r="CC199" s="49"/>
    </row>
    <row r="200" spans="1:92" outlineLevel="1" x14ac:dyDescent="0.45">
      <c r="A200" s="65"/>
      <c r="B200" s="192"/>
      <c r="C200" s="76"/>
      <c r="D200" s="76"/>
      <c r="E200" s="76"/>
      <c r="F200" s="89"/>
      <c r="G200" s="76"/>
      <c r="H200" s="76"/>
      <c r="I200" s="89"/>
      <c r="J200" s="89"/>
      <c r="K200" s="89"/>
      <c r="L200" s="89"/>
      <c r="M200" s="146"/>
      <c r="O200" s="159">
        <f>+(M200/$M$8)/1.18</f>
        <v>0</v>
      </c>
      <c r="P200" s="159"/>
      <c r="Q200" s="159">
        <f>+(M200/$M$8)/1.18</f>
        <v>0</v>
      </c>
      <c r="R200" s="160">
        <f t="shared" si="25"/>
        <v>0</v>
      </c>
      <c r="S200" s="160">
        <f t="shared" si="26"/>
        <v>0</v>
      </c>
      <c r="T200" s="134"/>
      <c r="CA200" s="49">
        <f>1560*1.09</f>
        <v>1700.4</v>
      </c>
      <c r="CB200" s="188">
        <f t="shared" si="31"/>
        <v>-1</v>
      </c>
      <c r="CC200" s="49">
        <f t="shared" si="32"/>
        <v>-1700.4</v>
      </c>
    </row>
    <row r="201" spans="1:92" ht="6" customHeight="1" outlineLevel="1" x14ac:dyDescent="0.45">
      <c r="A201" s="65"/>
      <c r="B201" s="192"/>
      <c r="C201" s="76"/>
      <c r="D201" s="76"/>
      <c r="E201" s="76"/>
      <c r="F201" s="89"/>
      <c r="G201" s="76"/>
      <c r="H201" s="76"/>
      <c r="I201" s="89"/>
      <c r="J201" s="89"/>
      <c r="K201" s="89"/>
      <c r="L201" s="89"/>
      <c r="M201" s="146"/>
      <c r="O201" s="159">
        <f>+M201/$M$8</f>
        <v>0</v>
      </c>
      <c r="P201" s="159"/>
      <c r="Q201" s="159">
        <f>+M201/$M$8</f>
        <v>0</v>
      </c>
      <c r="R201" s="160">
        <f t="shared" si="25"/>
        <v>0</v>
      </c>
      <c r="S201" s="160">
        <f t="shared" si="26"/>
        <v>0</v>
      </c>
      <c r="T201" s="134"/>
      <c r="CA201" s="49">
        <f>1693*1.07+380*1.07</f>
        <v>2218.11</v>
      </c>
      <c r="CB201" s="188">
        <f t="shared" si="31"/>
        <v>-1</v>
      </c>
      <c r="CC201" s="49">
        <f t="shared" si="32"/>
        <v>-2218.11</v>
      </c>
    </row>
    <row r="202" spans="1:92" s="5" customFormat="1" ht="16.5" customHeight="1" outlineLevel="1" x14ac:dyDescent="0.45">
      <c r="A202" s="135">
        <v>17.2</v>
      </c>
      <c r="B202" s="195" t="s">
        <v>177</v>
      </c>
      <c r="C202" s="89"/>
      <c r="D202" s="89"/>
      <c r="E202" s="89"/>
      <c r="F202" s="196">
        <v>5518.75</v>
      </c>
      <c r="G202" s="196"/>
      <c r="H202" s="196"/>
      <c r="I202" s="196">
        <v>5231.25</v>
      </c>
      <c r="J202" s="196"/>
      <c r="K202" s="196"/>
      <c r="L202" s="196">
        <v>25500</v>
      </c>
      <c r="M202" s="197">
        <v>36250</v>
      </c>
      <c r="O202" s="197">
        <f>+(M202/$M$8)/1.18</f>
        <v>63.867648613411333</v>
      </c>
      <c r="P202" s="197"/>
      <c r="Q202" s="197">
        <f>+(M202/$M$8)/1.18</f>
        <v>63.867648613411333</v>
      </c>
      <c r="R202" s="197">
        <f t="shared" si="25"/>
        <v>21906.603474400086</v>
      </c>
      <c r="S202" s="197">
        <f t="shared" si="26"/>
        <v>1405.0882694950494</v>
      </c>
      <c r="T202" s="157"/>
      <c r="CA202" s="49">
        <f>1600*1.07+160*1.07</f>
        <v>1883.2</v>
      </c>
      <c r="CB202" s="188">
        <f t="shared" si="31"/>
        <v>-1</v>
      </c>
      <c r="CC202" s="49">
        <f t="shared" si="32"/>
        <v>-1883.2</v>
      </c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</row>
    <row r="203" spans="1:92" outlineLevel="1" x14ac:dyDescent="0.45">
      <c r="A203" s="65"/>
      <c r="B203" s="198" t="s">
        <v>178</v>
      </c>
      <c r="C203" s="76"/>
      <c r="D203" s="76"/>
      <c r="E203" s="199">
        <v>25</v>
      </c>
      <c r="F203" s="200">
        <v>5518.75</v>
      </c>
      <c r="G203" s="200"/>
      <c r="H203" s="200">
        <v>25</v>
      </c>
      <c r="I203" s="200">
        <v>5231.25</v>
      </c>
      <c r="J203" s="200"/>
      <c r="K203" s="200"/>
      <c r="L203" s="200">
        <v>0</v>
      </c>
      <c r="M203" s="146"/>
      <c r="O203" s="159">
        <f>+M203/$M$8</f>
        <v>0</v>
      </c>
      <c r="P203" s="159"/>
      <c r="Q203" s="159">
        <f>+M203/$M$8</f>
        <v>0</v>
      </c>
      <c r="R203" s="160">
        <f t="shared" si="25"/>
        <v>0</v>
      </c>
      <c r="S203" s="160">
        <f t="shared" si="26"/>
        <v>0</v>
      </c>
      <c r="T203" s="134"/>
      <c r="CA203" s="49">
        <f>(1455+93)*1.07</f>
        <v>1656.3600000000001</v>
      </c>
      <c r="CB203" s="188">
        <f t="shared" si="31"/>
        <v>-0.98490666280277239</v>
      </c>
      <c r="CC203" s="49">
        <f t="shared" si="32"/>
        <v>-1631.3600000000001</v>
      </c>
    </row>
    <row r="204" spans="1:92" outlineLevel="1" x14ac:dyDescent="0.45">
      <c r="A204" s="65"/>
      <c r="B204" s="198" t="s">
        <v>179</v>
      </c>
      <c r="C204" s="76"/>
      <c r="D204" s="76"/>
      <c r="E204" s="199"/>
      <c r="F204" s="200"/>
      <c r="G204" s="200"/>
      <c r="H204" s="200"/>
      <c r="I204" s="200"/>
      <c r="J204" s="200"/>
      <c r="K204" s="200">
        <v>500</v>
      </c>
      <c r="L204" s="200">
        <v>25500</v>
      </c>
      <c r="M204" s="76"/>
      <c r="O204" s="159"/>
      <c r="P204" s="159"/>
      <c r="Q204" s="159"/>
      <c r="R204" s="160"/>
      <c r="S204" s="160"/>
      <c r="T204" s="134"/>
      <c r="CA204" s="49"/>
      <c r="CB204" s="188"/>
      <c r="CC204" s="49"/>
    </row>
    <row r="205" spans="1:92" outlineLevel="1" x14ac:dyDescent="0.45">
      <c r="A205" s="65"/>
      <c r="B205" s="198"/>
      <c r="C205" s="76"/>
      <c r="D205" s="76"/>
      <c r="E205" s="199"/>
      <c r="F205" s="200"/>
      <c r="G205" s="200"/>
      <c r="H205" s="200"/>
      <c r="I205" s="200"/>
      <c r="J205" s="200"/>
      <c r="K205" s="200"/>
      <c r="L205" s="200"/>
      <c r="M205" s="146"/>
      <c r="O205" s="159"/>
      <c r="P205" s="159"/>
      <c r="Q205" s="159"/>
      <c r="R205" s="160"/>
      <c r="S205" s="160"/>
      <c r="T205" s="134"/>
      <c r="CA205" s="49"/>
      <c r="CB205" s="188"/>
      <c r="CC205" s="49"/>
    </row>
    <row r="206" spans="1:92" outlineLevel="1" x14ac:dyDescent="0.45">
      <c r="A206" s="65"/>
      <c r="B206" s="192" t="s">
        <v>180</v>
      </c>
      <c r="C206" s="76"/>
      <c r="D206" s="76">
        <v>13.5</v>
      </c>
      <c r="E206" s="76">
        <v>708</v>
      </c>
      <c r="F206" s="89"/>
      <c r="G206" s="76"/>
      <c r="H206" s="76"/>
      <c r="I206" s="89"/>
      <c r="J206" s="89"/>
      <c r="K206" s="89"/>
      <c r="L206" s="89"/>
      <c r="M206" s="50">
        <v>2583.2432432432433</v>
      </c>
      <c r="O206" s="159"/>
      <c r="P206" s="159"/>
      <c r="Q206" s="159"/>
      <c r="R206" s="160"/>
      <c r="S206" s="160"/>
      <c r="T206" s="134"/>
      <c r="CA206" s="49"/>
      <c r="CB206" s="188"/>
      <c r="CC206" s="49"/>
    </row>
    <row r="207" spans="1:92" outlineLevel="1" x14ac:dyDescent="0.45">
      <c r="A207" s="65"/>
      <c r="B207" s="192" t="s">
        <v>181</v>
      </c>
      <c r="C207" s="76"/>
      <c r="D207" s="76"/>
      <c r="E207" s="76"/>
      <c r="F207" s="89"/>
      <c r="G207" s="76"/>
      <c r="H207" s="76"/>
      <c r="I207" s="89"/>
      <c r="J207" s="89"/>
      <c r="K207" s="89"/>
      <c r="L207" s="89"/>
      <c r="M207" s="50">
        <v>9400</v>
      </c>
      <c r="O207" s="159"/>
      <c r="P207" s="159"/>
      <c r="Q207" s="159"/>
      <c r="R207" s="160"/>
      <c r="S207" s="160"/>
      <c r="T207" s="134"/>
      <c r="CA207" s="49"/>
      <c r="CB207" s="188"/>
      <c r="CC207" s="49"/>
    </row>
    <row r="208" spans="1:92" outlineLevel="1" x14ac:dyDescent="0.45">
      <c r="A208" s="65"/>
      <c r="B208" s="192" t="s">
        <v>182</v>
      </c>
      <c r="C208" s="76"/>
      <c r="D208" s="76"/>
      <c r="E208" s="76"/>
      <c r="F208" s="89"/>
      <c r="G208" s="76"/>
      <c r="H208" s="76"/>
      <c r="I208" s="89"/>
      <c r="J208" s="89"/>
      <c r="K208" s="89"/>
      <c r="L208" s="89"/>
      <c r="M208" s="50">
        <v>4500</v>
      </c>
      <c r="O208" s="159"/>
      <c r="P208" s="159"/>
      <c r="Q208" s="159"/>
      <c r="R208" s="160"/>
      <c r="S208" s="160"/>
      <c r="T208" s="134"/>
      <c r="CA208" s="49"/>
      <c r="CB208" s="188"/>
      <c r="CC208" s="49"/>
    </row>
    <row r="209" spans="1:81" outlineLevel="1" x14ac:dyDescent="0.45">
      <c r="A209" s="65"/>
      <c r="B209" s="192" t="s">
        <v>183</v>
      </c>
      <c r="C209" s="76"/>
      <c r="D209" s="76">
        <v>12</v>
      </c>
      <c r="E209" s="76">
        <v>17460</v>
      </c>
      <c r="F209" s="89"/>
      <c r="G209" s="76"/>
      <c r="H209" s="76"/>
      <c r="I209" s="89"/>
      <c r="J209" s="89"/>
      <c r="K209" s="89"/>
      <c r="L209" s="89"/>
      <c r="M209" s="50">
        <v>56627.027027027027</v>
      </c>
      <c r="O209" s="159"/>
      <c r="P209" s="159"/>
      <c r="Q209" s="159"/>
      <c r="R209" s="160"/>
      <c r="S209" s="160"/>
      <c r="T209" s="134"/>
      <c r="CA209" s="49"/>
      <c r="CB209" s="188"/>
      <c r="CC209" s="49"/>
    </row>
    <row r="210" spans="1:81" outlineLevel="1" x14ac:dyDescent="0.45">
      <c r="A210" s="65"/>
      <c r="B210" s="192" t="s">
        <v>184</v>
      </c>
      <c r="C210" s="76"/>
      <c r="D210" s="76">
        <v>12</v>
      </c>
      <c r="E210" s="76">
        <v>2667</v>
      </c>
      <c r="F210" s="89"/>
      <c r="G210" s="76"/>
      <c r="H210" s="76"/>
      <c r="I210" s="89"/>
      <c r="J210" s="89"/>
      <c r="K210" s="89"/>
      <c r="L210" s="89"/>
      <c r="M210" s="50">
        <v>8649.72972972973</v>
      </c>
      <c r="O210" s="159"/>
      <c r="P210" s="159"/>
      <c r="Q210" s="159"/>
      <c r="R210" s="160"/>
      <c r="S210" s="160"/>
      <c r="T210" s="134"/>
      <c r="CA210" s="49"/>
      <c r="CB210" s="188"/>
      <c r="CC210" s="49"/>
    </row>
    <row r="211" spans="1:81" ht="15" customHeight="1" outlineLevel="1" x14ac:dyDescent="0.45">
      <c r="A211" s="198"/>
      <c r="F211" s="2"/>
      <c r="I211" s="2"/>
      <c r="J211" s="2"/>
      <c r="K211" s="2"/>
      <c r="L211" s="2"/>
      <c r="O211" s="159">
        <f>+M204/$M$8</f>
        <v>0</v>
      </c>
      <c r="P211" s="159"/>
      <c r="Q211" s="159">
        <f>+M204/$M$8</f>
        <v>0</v>
      </c>
      <c r="R211" s="160">
        <f t="shared" si="25"/>
        <v>0</v>
      </c>
      <c r="S211" s="160">
        <f t="shared" si="26"/>
        <v>0</v>
      </c>
      <c r="T211" s="134"/>
      <c r="CA211" s="49">
        <f>(1455+93)*1.07</f>
        <v>1656.3600000000001</v>
      </c>
      <c r="CB211" s="188">
        <f>+E204/CA211-1</f>
        <v>-1</v>
      </c>
      <c r="CC211" s="49">
        <f>+E204-CA211</f>
        <v>-1656.3600000000001</v>
      </c>
    </row>
    <row r="212" spans="1:81" ht="4.5" customHeight="1" x14ac:dyDescent="0.45">
      <c r="A212" s="65"/>
      <c r="B212" s="124"/>
      <c r="C212" s="124"/>
      <c r="D212" s="76"/>
      <c r="E212" s="76"/>
      <c r="F212" s="89"/>
      <c r="G212" s="76"/>
      <c r="H212" s="76"/>
      <c r="I212" s="89"/>
      <c r="J212" s="89"/>
      <c r="K212" s="89"/>
      <c r="L212" s="89"/>
      <c r="M212" s="89"/>
      <c r="O212" s="159">
        <f>+M212/$M$8</f>
        <v>0</v>
      </c>
      <c r="P212" s="159"/>
      <c r="Q212" s="159">
        <f>+M212/$M$8</f>
        <v>0</v>
      </c>
      <c r="R212" s="160">
        <f t="shared" si="25"/>
        <v>0</v>
      </c>
      <c r="S212" s="160">
        <f t="shared" si="26"/>
        <v>0</v>
      </c>
      <c r="T212" s="134"/>
      <c r="CA212" s="49">
        <f>(1455+93)*1.07+180*1.07</f>
        <v>1848.96</v>
      </c>
      <c r="CB212" s="188">
        <f t="shared" si="31"/>
        <v>-1</v>
      </c>
      <c r="CC212" s="49">
        <f t="shared" si="32"/>
        <v>-1848.96</v>
      </c>
    </row>
    <row r="213" spans="1:81" ht="21" customHeight="1" x14ac:dyDescent="0.45">
      <c r="A213" s="135" t="s">
        <v>185</v>
      </c>
      <c r="B213" s="161" t="s">
        <v>186</v>
      </c>
      <c r="C213" s="201"/>
      <c r="D213" s="175"/>
      <c r="E213" s="175"/>
      <c r="F213" s="163"/>
      <c r="G213" s="175"/>
      <c r="H213" s="175"/>
      <c r="I213" s="163"/>
      <c r="J213" s="163"/>
      <c r="K213" s="163"/>
      <c r="L213" s="163"/>
      <c r="M213" s="164">
        <f>+M215+M219+M226+M230</f>
        <v>105229.72972972972</v>
      </c>
      <c r="O213" s="164">
        <f>+(M213/$M$8)/1.18</f>
        <v>185.40070074655506</v>
      </c>
      <c r="P213" s="164">
        <f t="shared" ref="P213" si="34">+($M$213/$M$8)/1.18</f>
        <v>185.40070074655506</v>
      </c>
      <c r="Q213" s="164">
        <f>+(M213/$M$8)/1.18</f>
        <v>185.40070074655506</v>
      </c>
      <c r="R213" s="164">
        <f t="shared" si="25"/>
        <v>63592.440356068386</v>
      </c>
      <c r="S213" s="164">
        <f t="shared" si="26"/>
        <v>4078.8154164242114</v>
      </c>
      <c r="T213" s="134"/>
    </row>
    <row r="214" spans="1:81" ht="11.25" customHeight="1" x14ac:dyDescent="0.45">
      <c r="A214" s="65"/>
      <c r="B214" s="124"/>
      <c r="C214" s="123"/>
      <c r="D214" s="76"/>
      <c r="E214" s="76"/>
      <c r="F214" s="89"/>
      <c r="G214" s="76"/>
      <c r="H214" s="76"/>
      <c r="I214" s="89"/>
      <c r="J214" s="89"/>
      <c r="K214" s="89"/>
      <c r="L214" s="89"/>
      <c r="M214" s="51"/>
      <c r="O214" s="51"/>
      <c r="P214" s="51"/>
      <c r="Q214" s="51"/>
      <c r="R214" s="51"/>
      <c r="S214" s="51"/>
      <c r="T214" s="134"/>
    </row>
    <row r="215" spans="1:81" ht="21" customHeight="1" x14ac:dyDescent="0.45">
      <c r="A215" s="135">
        <v>18.100000000000001</v>
      </c>
      <c r="B215" s="161" t="s">
        <v>187</v>
      </c>
      <c r="C215" s="123"/>
      <c r="D215" s="76"/>
      <c r="E215" s="76"/>
      <c r="F215" s="89"/>
      <c r="G215" s="76"/>
      <c r="H215" s="76"/>
      <c r="I215" s="89"/>
      <c r="J215" s="89"/>
      <c r="K215" s="89"/>
      <c r="L215" s="89"/>
      <c r="M215" s="164">
        <f>+M216+M217</f>
        <v>35675.675675675673</v>
      </c>
      <c r="O215" s="164">
        <f t="shared" ref="O215:O230" si="35">+(M215/$M$8)/1.18</f>
        <v>62.855766016553915</v>
      </c>
      <c r="P215" s="51"/>
      <c r="Q215" s="164">
        <f t="shared" ref="Q215:Q232" si="36">+(M215/$M$8)/1.18</f>
        <v>62.855766016553915</v>
      </c>
      <c r="R215" s="51"/>
      <c r="S215" s="51"/>
      <c r="T215" s="134"/>
    </row>
    <row r="216" spans="1:81" x14ac:dyDescent="0.45">
      <c r="A216" s="202"/>
      <c r="B216" s="114" t="s">
        <v>188</v>
      </c>
      <c r="C216" s="203"/>
      <c r="D216" s="118">
        <v>12</v>
      </c>
      <c r="E216" s="118">
        <v>10000</v>
      </c>
      <c r="F216" s="118"/>
      <c r="G216" s="118"/>
      <c r="H216" s="118"/>
      <c r="I216" s="118"/>
      <c r="J216" s="118"/>
      <c r="K216" s="118"/>
      <c r="L216" s="118"/>
      <c r="M216" s="204">
        <v>32432.43243243243</v>
      </c>
      <c r="O216" s="51"/>
      <c r="P216" s="51"/>
      <c r="Q216" s="51"/>
      <c r="R216" s="51">
        <f t="shared" ref="R216:R240" si="37">O216*343</f>
        <v>0</v>
      </c>
      <c r="S216" s="51">
        <f t="shared" ref="S216:S240" si="38">Q216*22</f>
        <v>0</v>
      </c>
      <c r="T216" s="134"/>
    </row>
    <row r="217" spans="1:81" outlineLevel="1" x14ac:dyDescent="0.45">
      <c r="A217" s="202"/>
      <c r="B217" s="192" t="s">
        <v>189</v>
      </c>
      <c r="C217" s="76"/>
      <c r="D217" s="76">
        <v>10</v>
      </c>
      <c r="E217" s="76">
        <v>1200</v>
      </c>
      <c r="F217" s="76"/>
      <c r="G217" s="76"/>
      <c r="H217" s="76"/>
      <c r="I217" s="76"/>
      <c r="J217" s="76"/>
      <c r="K217" s="76"/>
      <c r="L217" s="76"/>
      <c r="M217" s="50">
        <v>3243.2432432432429</v>
      </c>
      <c r="O217" s="51"/>
      <c r="P217" s="159"/>
      <c r="Q217" s="51"/>
      <c r="R217" s="160">
        <f t="shared" si="37"/>
        <v>0</v>
      </c>
      <c r="S217" s="160">
        <f t="shared" si="38"/>
        <v>0</v>
      </c>
      <c r="T217" s="134"/>
    </row>
    <row r="218" spans="1:81" outlineLevel="1" x14ac:dyDescent="0.45">
      <c r="A218" s="202"/>
      <c r="B218" s="192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50"/>
      <c r="O218" s="51"/>
      <c r="P218" s="159"/>
      <c r="Q218" s="51"/>
      <c r="R218" s="160"/>
      <c r="S218" s="160"/>
      <c r="T218" s="134"/>
    </row>
    <row r="219" spans="1:81" outlineLevel="1" x14ac:dyDescent="0.45">
      <c r="A219" s="135">
        <v>18.2</v>
      </c>
      <c r="B219" s="205" t="s">
        <v>190</v>
      </c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206">
        <f>+M220+M221+M222+M223+M224</f>
        <v>31702.702702702703</v>
      </c>
      <c r="O219" s="164">
        <f t="shared" si="35"/>
        <v>55.855919346528601</v>
      </c>
      <c r="P219" s="159"/>
      <c r="Q219" s="164">
        <f t="shared" si="36"/>
        <v>55.855919346528601</v>
      </c>
      <c r="R219" s="160"/>
      <c r="S219" s="160"/>
      <c r="T219" s="134"/>
    </row>
    <row r="220" spans="1:81" outlineLevel="1" x14ac:dyDescent="0.45">
      <c r="A220" s="65"/>
      <c r="B220" s="192" t="s">
        <v>191</v>
      </c>
      <c r="C220" s="76"/>
      <c r="D220" s="76">
        <v>12</v>
      </c>
      <c r="E220" s="76">
        <v>1500</v>
      </c>
      <c r="F220" s="89"/>
      <c r="G220" s="76"/>
      <c r="H220" s="76"/>
      <c r="I220" s="89"/>
      <c r="J220" s="89"/>
      <c r="K220" s="89"/>
      <c r="L220" s="89"/>
      <c r="M220" s="50">
        <v>4864.864864864865</v>
      </c>
      <c r="O220" s="51"/>
      <c r="P220" s="159"/>
      <c r="Q220" s="51"/>
      <c r="R220" s="160"/>
      <c r="S220" s="160"/>
      <c r="T220" s="134"/>
    </row>
    <row r="221" spans="1:81" outlineLevel="1" x14ac:dyDescent="0.45">
      <c r="A221" s="65"/>
      <c r="B221" s="192" t="s">
        <v>192</v>
      </c>
      <c r="C221" s="76"/>
      <c r="D221" s="76">
        <v>12</v>
      </c>
      <c r="E221" s="76">
        <v>1000</v>
      </c>
      <c r="F221" s="89"/>
      <c r="G221" s="76"/>
      <c r="H221" s="76"/>
      <c r="I221" s="89"/>
      <c r="J221" s="89"/>
      <c r="K221" s="89"/>
      <c r="L221" s="89"/>
      <c r="M221" s="50">
        <v>3243.2432432432429</v>
      </c>
      <c r="O221" s="51"/>
      <c r="P221" s="159"/>
      <c r="Q221" s="51"/>
      <c r="R221" s="160"/>
      <c r="S221" s="160"/>
      <c r="T221" s="134"/>
    </row>
    <row r="222" spans="1:81" outlineLevel="1" x14ac:dyDescent="0.45">
      <c r="A222" s="65"/>
      <c r="B222" s="192" t="s">
        <v>193</v>
      </c>
      <c r="C222" s="76"/>
      <c r="D222" s="76">
        <v>12</v>
      </c>
      <c r="E222" s="76">
        <v>800</v>
      </c>
      <c r="F222" s="89"/>
      <c r="G222" s="76"/>
      <c r="H222" s="76"/>
      <c r="I222" s="89"/>
      <c r="J222" s="89"/>
      <c r="K222" s="89"/>
      <c r="L222" s="89"/>
      <c r="M222" s="50">
        <v>2594.5945945945946</v>
      </c>
      <c r="O222" s="51"/>
      <c r="P222" s="159"/>
      <c r="Q222" s="51"/>
      <c r="R222" s="160"/>
      <c r="S222" s="160"/>
      <c r="T222" s="134"/>
      <c r="V222" s="41"/>
    </row>
    <row r="223" spans="1:81" outlineLevel="1" x14ac:dyDescent="0.45">
      <c r="A223" s="65"/>
      <c r="B223" s="192" t="s">
        <v>194</v>
      </c>
      <c r="C223" s="76"/>
      <c r="D223" s="76">
        <v>1</v>
      </c>
      <c r="E223" s="76">
        <v>15000</v>
      </c>
      <c r="F223" s="89"/>
      <c r="G223" s="76"/>
      <c r="H223" s="76"/>
      <c r="I223" s="89"/>
      <c r="J223" s="89"/>
      <c r="K223" s="89"/>
      <c r="L223" s="89"/>
      <c r="M223" s="50">
        <v>15000</v>
      </c>
      <c r="O223" s="51"/>
      <c r="P223" s="159"/>
      <c r="Q223" s="51"/>
      <c r="R223" s="160"/>
      <c r="S223" s="160"/>
      <c r="T223" s="134"/>
    </row>
    <row r="224" spans="1:81" outlineLevel="1" x14ac:dyDescent="0.45">
      <c r="A224" s="65"/>
      <c r="B224" s="192" t="s">
        <v>195</v>
      </c>
      <c r="C224" s="76"/>
      <c r="D224" s="76">
        <v>1</v>
      </c>
      <c r="E224" s="76">
        <v>6000</v>
      </c>
      <c r="F224" s="89"/>
      <c r="G224" s="76"/>
      <c r="H224" s="76"/>
      <c r="I224" s="89"/>
      <c r="J224" s="89"/>
      <c r="K224" s="89"/>
      <c r="L224" s="89"/>
      <c r="M224" s="50">
        <v>6000</v>
      </c>
      <c r="O224" s="51"/>
      <c r="P224" s="159"/>
      <c r="Q224" s="51"/>
      <c r="R224" s="160"/>
      <c r="S224" s="160"/>
      <c r="T224" s="134"/>
    </row>
    <row r="225" spans="1:22" outlineLevel="1" x14ac:dyDescent="0.45">
      <c r="A225" s="65"/>
      <c r="B225" s="192"/>
      <c r="C225" s="76"/>
      <c r="D225" s="76"/>
      <c r="E225" s="76"/>
      <c r="F225" s="89"/>
      <c r="G225" s="76"/>
      <c r="H225" s="76"/>
      <c r="I225" s="89"/>
      <c r="J225" s="89"/>
      <c r="K225" s="89"/>
      <c r="L225" s="89"/>
      <c r="M225" s="50"/>
      <c r="O225" s="51"/>
      <c r="P225" s="159"/>
      <c r="Q225" s="51"/>
      <c r="R225" s="160"/>
      <c r="S225" s="160"/>
      <c r="T225" s="134"/>
    </row>
    <row r="226" spans="1:22" outlineLevel="1" x14ac:dyDescent="0.45">
      <c r="A226" s="135">
        <v>18.3</v>
      </c>
      <c r="B226" s="205" t="s">
        <v>196</v>
      </c>
      <c r="C226" s="76"/>
      <c r="D226" s="76"/>
      <c r="E226" s="76"/>
      <c r="F226" s="89"/>
      <c r="G226" s="76"/>
      <c r="H226" s="76"/>
      <c r="I226" s="89"/>
      <c r="J226" s="89"/>
      <c r="K226" s="89"/>
      <c r="L226" s="89"/>
      <c r="M226" s="206">
        <f>+M227+M228</f>
        <v>14500</v>
      </c>
      <c r="O226" s="164">
        <f t="shared" si="35"/>
        <v>25.547059445364532</v>
      </c>
      <c r="P226" s="159"/>
      <c r="Q226" s="164">
        <f t="shared" si="36"/>
        <v>25.547059445364532</v>
      </c>
      <c r="R226" s="160"/>
      <c r="S226" s="160"/>
      <c r="T226" s="134"/>
    </row>
    <row r="227" spans="1:22" outlineLevel="1" x14ac:dyDescent="0.45">
      <c r="A227" s="65"/>
      <c r="B227" s="192" t="s">
        <v>197</v>
      </c>
      <c r="C227" s="76"/>
      <c r="D227" s="76">
        <v>1</v>
      </c>
      <c r="E227" s="76">
        <v>4500</v>
      </c>
      <c r="F227" s="89"/>
      <c r="G227" s="76"/>
      <c r="H227" s="76"/>
      <c r="I227" s="89"/>
      <c r="J227" s="89"/>
      <c r="K227" s="89"/>
      <c r="L227" s="89"/>
      <c r="M227" s="50">
        <v>4500</v>
      </c>
      <c r="O227" s="51"/>
      <c r="P227" s="159"/>
      <c r="Q227" s="51"/>
      <c r="R227" s="160"/>
      <c r="S227" s="160"/>
      <c r="T227" s="134"/>
    </row>
    <row r="228" spans="1:22" outlineLevel="1" x14ac:dyDescent="0.45">
      <c r="A228" s="65"/>
      <c r="B228" s="192" t="s">
        <v>198</v>
      </c>
      <c r="C228" s="76"/>
      <c r="D228" s="76"/>
      <c r="E228" s="76"/>
      <c r="F228" s="89"/>
      <c r="G228" s="76"/>
      <c r="H228" s="76"/>
      <c r="I228" s="89"/>
      <c r="J228" s="89"/>
      <c r="K228" s="89"/>
      <c r="L228" s="89"/>
      <c r="M228" s="50">
        <v>10000</v>
      </c>
      <c r="O228" s="51"/>
      <c r="P228" s="159"/>
      <c r="Q228" s="51"/>
      <c r="R228" s="160"/>
      <c r="S228" s="160"/>
      <c r="T228" s="134"/>
    </row>
    <row r="229" spans="1:22" outlineLevel="1" x14ac:dyDescent="0.45">
      <c r="A229" s="65"/>
      <c r="B229" s="192"/>
      <c r="C229" s="76"/>
      <c r="D229" s="76"/>
      <c r="E229" s="76"/>
      <c r="F229" s="89"/>
      <c r="G229" s="76"/>
      <c r="H229" s="76"/>
      <c r="I229" s="89"/>
      <c r="J229" s="89"/>
      <c r="K229" s="89"/>
      <c r="L229" s="89"/>
      <c r="M229" s="50"/>
      <c r="O229" s="51"/>
      <c r="P229" s="159"/>
      <c r="Q229" s="51"/>
      <c r="R229" s="160"/>
      <c r="S229" s="160"/>
      <c r="T229" s="134"/>
    </row>
    <row r="230" spans="1:22" s="5" customFormat="1" outlineLevel="1" x14ac:dyDescent="0.45">
      <c r="A230" s="135">
        <v>18.399999999999999</v>
      </c>
      <c r="B230" s="205" t="s">
        <v>199</v>
      </c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206">
        <f>+M231+M232+M233</f>
        <v>23351.35135135135</v>
      </c>
      <c r="O230" s="164">
        <f t="shared" si="35"/>
        <v>41.141955938108019</v>
      </c>
      <c r="P230" s="207"/>
      <c r="Q230" s="164">
        <f t="shared" si="36"/>
        <v>41.141955938108019</v>
      </c>
      <c r="R230" s="178"/>
      <c r="S230" s="178"/>
      <c r="T230" s="179"/>
    </row>
    <row r="231" spans="1:22" outlineLevel="1" x14ac:dyDescent="0.45">
      <c r="A231" s="65"/>
      <c r="B231" s="192" t="s">
        <v>200</v>
      </c>
      <c r="C231" s="76"/>
      <c r="D231" s="76">
        <v>12</v>
      </c>
      <c r="E231" s="76">
        <v>1600</v>
      </c>
      <c r="F231" s="89"/>
      <c r="G231" s="76"/>
      <c r="H231" s="76"/>
      <c r="I231" s="89"/>
      <c r="J231" s="89"/>
      <c r="K231" s="89"/>
      <c r="L231" s="89"/>
      <c r="M231" s="50">
        <v>5189.1891891891892</v>
      </c>
      <c r="O231" s="51"/>
      <c r="P231" s="159"/>
      <c r="Q231" s="50">
        <f t="shared" si="36"/>
        <v>9.1426568751351169</v>
      </c>
      <c r="R231" s="160"/>
      <c r="S231" s="160"/>
      <c r="T231" s="134"/>
    </row>
    <row r="232" spans="1:22" outlineLevel="1" x14ac:dyDescent="0.45">
      <c r="A232" s="65"/>
      <c r="B232" s="192" t="s">
        <v>201</v>
      </c>
      <c r="C232" s="76"/>
      <c r="D232" s="76">
        <v>12</v>
      </c>
      <c r="E232" s="76">
        <v>1200</v>
      </c>
      <c r="F232" s="89"/>
      <c r="G232" s="76"/>
      <c r="H232" s="76"/>
      <c r="I232" s="89"/>
      <c r="J232" s="89"/>
      <c r="K232" s="89"/>
      <c r="L232" s="89"/>
      <c r="M232" s="50">
        <v>3891.8918918918916</v>
      </c>
      <c r="O232" s="51"/>
      <c r="P232" s="159"/>
      <c r="Q232" s="50">
        <f t="shared" si="36"/>
        <v>6.8569926563513377</v>
      </c>
      <c r="R232" s="160"/>
      <c r="S232" s="160"/>
      <c r="T232" s="134"/>
    </row>
    <row r="233" spans="1:22" outlineLevel="1" x14ac:dyDescent="0.45">
      <c r="A233" s="65"/>
      <c r="B233" s="192" t="s">
        <v>202</v>
      </c>
      <c r="C233" s="76"/>
      <c r="D233" s="76">
        <v>12</v>
      </c>
      <c r="E233" s="76">
        <v>4400</v>
      </c>
      <c r="F233" s="89"/>
      <c r="G233" s="76"/>
      <c r="H233" s="76"/>
      <c r="I233" s="89"/>
      <c r="J233" s="89"/>
      <c r="K233" s="89"/>
      <c r="L233" s="89"/>
      <c r="M233" s="50">
        <v>14270.27027027027</v>
      </c>
      <c r="O233" s="51"/>
      <c r="P233" s="159"/>
      <c r="Q233" s="50">
        <f>+(M209/$M$8)/1.18</f>
        <v>99.769243149911958</v>
      </c>
      <c r="R233" s="160"/>
      <c r="S233" s="160"/>
      <c r="T233" s="134"/>
    </row>
    <row r="234" spans="1:22" outlineLevel="1" x14ac:dyDescent="0.45">
      <c r="A234" s="65"/>
      <c r="F234" s="2"/>
      <c r="I234" s="2"/>
      <c r="J234" s="2"/>
      <c r="K234" s="2"/>
      <c r="L234" s="2"/>
      <c r="O234" s="50">
        <f>+(M210/$M$8)/1.18</f>
        <v>15.239666178740848</v>
      </c>
      <c r="P234" s="159"/>
      <c r="Q234" s="50">
        <f>+(M210/$M$8)/1.18</f>
        <v>15.239666178740848</v>
      </c>
      <c r="R234" s="160"/>
      <c r="S234" s="160"/>
      <c r="T234" s="134"/>
    </row>
    <row r="235" spans="1:22" outlineLevel="1" x14ac:dyDescent="0.45">
      <c r="A235" s="65"/>
      <c r="F235" s="2"/>
      <c r="I235" s="2"/>
      <c r="J235" s="2"/>
      <c r="K235" s="2"/>
      <c r="L235" s="2"/>
      <c r="O235" s="50">
        <f>+(M228/$M$8)/1.18</f>
        <v>17.618661686458299</v>
      </c>
      <c r="P235" s="159"/>
      <c r="Q235" s="50">
        <f>+(M228/$M$8)/1.18</f>
        <v>17.618661686458299</v>
      </c>
      <c r="R235" s="160"/>
      <c r="S235" s="160"/>
      <c r="T235" s="134"/>
    </row>
    <row r="236" spans="1:22" outlineLevel="1" x14ac:dyDescent="0.45">
      <c r="A236" s="65"/>
      <c r="F236" s="2"/>
      <c r="I236" s="2"/>
      <c r="J236" s="2"/>
      <c r="K236" s="2"/>
      <c r="L236" s="2"/>
      <c r="O236" s="50">
        <f>+(M233/$M$8)/1.18</f>
        <v>25.142306406621568</v>
      </c>
      <c r="P236" s="159"/>
      <c r="Q236" s="50">
        <f>+(M233/$M$8)/1.18</f>
        <v>25.142306406621568</v>
      </c>
      <c r="R236" s="160"/>
      <c r="S236" s="160"/>
      <c r="T236" s="134"/>
    </row>
    <row r="237" spans="1:22" ht="4.5" customHeight="1" outlineLevel="1" x14ac:dyDescent="0.45">
      <c r="A237" s="65"/>
      <c r="B237" s="192"/>
      <c r="C237" s="76"/>
      <c r="D237" s="76"/>
      <c r="E237" s="76"/>
      <c r="F237" s="89"/>
      <c r="G237" s="76"/>
      <c r="H237" s="76"/>
      <c r="I237" s="89"/>
      <c r="J237" s="89"/>
      <c r="K237" s="89"/>
      <c r="L237" s="89"/>
      <c r="M237" s="50"/>
      <c r="O237" s="159">
        <f>+(M237/$M$8)/1.18</f>
        <v>0</v>
      </c>
      <c r="P237" s="159"/>
      <c r="Q237" s="159">
        <f>+(M237/$M$8)/1.18</f>
        <v>0</v>
      </c>
      <c r="R237" s="160">
        <f t="shared" si="37"/>
        <v>0</v>
      </c>
      <c r="S237" s="160">
        <f t="shared" si="38"/>
        <v>0</v>
      </c>
      <c r="T237" s="134"/>
    </row>
    <row r="238" spans="1:22" outlineLevel="1" x14ac:dyDescent="0.45">
      <c r="A238" s="65"/>
      <c r="B238" s="192"/>
      <c r="C238" s="208"/>
      <c r="D238" s="76"/>
      <c r="E238" s="76"/>
      <c r="F238" s="89"/>
      <c r="G238" s="76"/>
      <c r="H238" s="76"/>
      <c r="I238" s="89"/>
      <c r="J238" s="89"/>
      <c r="K238" s="89"/>
      <c r="L238" s="89"/>
      <c r="M238" s="50"/>
      <c r="O238" s="160">
        <f>M238/365</f>
        <v>0</v>
      </c>
      <c r="P238" s="160"/>
      <c r="Q238" s="159">
        <f>+M238/$M$8</f>
        <v>0</v>
      </c>
      <c r="R238" s="160">
        <f t="shared" si="37"/>
        <v>0</v>
      </c>
      <c r="S238" s="160">
        <f t="shared" si="38"/>
        <v>0</v>
      </c>
      <c r="T238" s="134"/>
    </row>
    <row r="239" spans="1:22" ht="5.0999999999999996" customHeight="1" x14ac:dyDescent="0.45">
      <c r="A239" s="72"/>
      <c r="B239" s="209"/>
      <c r="C239" s="87"/>
      <c r="M239" s="5"/>
      <c r="O239" s="160">
        <f>M239/365</f>
        <v>0</v>
      </c>
      <c r="P239" s="160"/>
      <c r="Q239" s="159">
        <f>+M239/$M$8</f>
        <v>0</v>
      </c>
      <c r="R239" s="160">
        <f t="shared" si="37"/>
        <v>0</v>
      </c>
      <c r="S239" s="160">
        <f t="shared" si="38"/>
        <v>0</v>
      </c>
      <c r="T239" s="134"/>
    </row>
    <row r="240" spans="1:22" x14ac:dyDescent="0.45">
      <c r="A240" s="135"/>
      <c r="B240" s="161" t="s">
        <v>203</v>
      </c>
      <c r="C240" s="161"/>
      <c r="D240" s="161"/>
      <c r="E240" s="161"/>
      <c r="F240" s="210">
        <f>+F10+F65+F114+F126</f>
        <v>2897640.5247413665</v>
      </c>
      <c r="G240" s="210"/>
      <c r="H240" s="210"/>
      <c r="I240" s="210">
        <f>+I10+I65+I114+I126</f>
        <v>2764691.7974775913</v>
      </c>
      <c r="J240" s="210"/>
      <c r="K240" s="210"/>
      <c r="L240" s="210">
        <f>+L10+L65+L114+L126</f>
        <v>868846.00470035255</v>
      </c>
      <c r="M240" s="210">
        <f>+M10+M65+M114+M126</f>
        <v>7297074.6782706622</v>
      </c>
      <c r="O240" s="210">
        <f>+O10+O65+O114+O126</f>
        <v>13987.642898737462</v>
      </c>
      <c r="P240" s="210"/>
      <c r="Q240" s="210">
        <f>+Q10+Q65+Q114+Q126</f>
        <v>17333.184666536341</v>
      </c>
      <c r="R240" s="210">
        <f t="shared" si="37"/>
        <v>4797761.5142669491</v>
      </c>
      <c r="S240" s="210">
        <f t="shared" si="38"/>
        <v>381330.0626637995</v>
      </c>
      <c r="T240" s="134"/>
      <c r="V240" s="211"/>
    </row>
    <row r="241" spans="1:81" ht="5.0999999999999996" customHeight="1" x14ac:dyDescent="0.45">
      <c r="A241" s="65"/>
      <c r="B241" s="212"/>
      <c r="C241" s="98"/>
      <c r="M241" s="5"/>
    </row>
    <row r="242" spans="1:81" x14ac:dyDescent="0.45">
      <c r="A242" s="135" t="s">
        <v>204</v>
      </c>
      <c r="B242" s="124" t="s">
        <v>205</v>
      </c>
      <c r="C242" s="88"/>
      <c r="D242" s="213">
        <v>8.8000000000000005E-3</v>
      </c>
      <c r="E242" s="76"/>
      <c r="F242" s="51"/>
      <c r="G242" s="76"/>
      <c r="H242" s="76"/>
      <c r="I242" s="51"/>
      <c r="J242" s="51"/>
      <c r="K242" s="51"/>
      <c r="L242" s="51"/>
      <c r="M242" s="51">
        <f>+M240*D242</f>
        <v>64214.257168781834</v>
      </c>
      <c r="O242" s="178">
        <f>M242/400/1.18</f>
        <v>136.04715501860559</v>
      </c>
      <c r="P242" s="178"/>
      <c r="Q242" s="178">
        <f>M242/400/1.18</f>
        <v>136.04715501860559</v>
      </c>
      <c r="R242" s="75">
        <f>O242*343</f>
        <v>46664.174171381717</v>
      </c>
      <c r="S242" s="75">
        <f>Q242*22</f>
        <v>2993.037410409323</v>
      </c>
    </row>
    <row r="243" spans="1:81" ht="5.0999999999999996" customHeight="1" x14ac:dyDescent="0.45">
      <c r="A243" s="65"/>
      <c r="B243" s="214"/>
      <c r="C243" s="98"/>
      <c r="M243" s="5"/>
    </row>
    <row r="244" spans="1:81" x14ac:dyDescent="0.45">
      <c r="A244" s="135"/>
      <c r="B244" s="161" t="s">
        <v>206</v>
      </c>
      <c r="C244" s="161"/>
      <c r="D244" s="161"/>
      <c r="E244" s="161"/>
      <c r="F244" s="210">
        <f>+F240+F242</f>
        <v>2897640.5247413665</v>
      </c>
      <c r="G244" s="210"/>
      <c r="H244" s="210"/>
      <c r="I244" s="210">
        <f>+I240+I242</f>
        <v>2764691.7974775913</v>
      </c>
      <c r="J244" s="210"/>
      <c r="K244" s="210"/>
      <c r="L244" s="210">
        <f>+L240+L242</f>
        <v>868846.00470035255</v>
      </c>
      <c r="M244" s="210">
        <f>+M240+M242</f>
        <v>7361288.9354394441</v>
      </c>
    </row>
    <row r="245" spans="1:81" ht="3.75" customHeight="1" x14ac:dyDescent="0.45">
      <c r="M245" s="5"/>
    </row>
    <row r="246" spans="1:81" x14ac:dyDescent="0.45">
      <c r="E246" s="210" t="s">
        <v>207</v>
      </c>
      <c r="F246" s="210">
        <f>+F244/D8</f>
        <v>13126.344392939372</v>
      </c>
      <c r="G246" s="210"/>
      <c r="H246" s="210"/>
      <c r="I246" s="210">
        <f>+I244/G8</f>
        <v>13212.386128925167</v>
      </c>
      <c r="J246" s="210"/>
      <c r="K246" s="210"/>
      <c r="L246" s="210">
        <f>+L244/J8</f>
        <v>17036.196170595147</v>
      </c>
      <c r="M246" s="210">
        <f>+M244/M8</f>
        <v>15304.135000913606</v>
      </c>
      <c r="O246" s="215">
        <f>+O240+O242</f>
        <v>14123.690053756067</v>
      </c>
      <c r="P246" s="216"/>
      <c r="Q246" s="215">
        <f>+Q240+Q242</f>
        <v>17469.231821554946</v>
      </c>
      <c r="R246" s="210">
        <f>+O246*$R$7</f>
        <v>6073186.7231151089</v>
      </c>
      <c r="S246" s="210">
        <f>+Q246*$S$7</f>
        <v>890930.82289930223</v>
      </c>
    </row>
    <row r="247" spans="1:81" ht="4.5" customHeight="1" x14ac:dyDescent="0.45">
      <c r="M247" s="5"/>
    </row>
    <row r="248" spans="1:81" ht="14.65" thickBot="1" x14ac:dyDescent="0.5">
      <c r="O248" s="217"/>
    </row>
    <row r="249" spans="1:81" x14ac:dyDescent="0.45">
      <c r="B249" s="218"/>
      <c r="C249" s="219" t="s">
        <v>208</v>
      </c>
      <c r="D249" s="219" t="s">
        <v>209</v>
      </c>
      <c r="E249" s="219" t="s">
        <v>210</v>
      </c>
      <c r="F249" s="220"/>
      <c r="J249" s="221" t="s">
        <v>211</v>
      </c>
      <c r="K249" s="222"/>
      <c r="L249" s="223">
        <f>+M10+M65</f>
        <v>6062254.0998922838</v>
      </c>
      <c r="M249" s="224"/>
      <c r="O249" s="75"/>
      <c r="P249" s="75"/>
      <c r="Q249" s="75"/>
      <c r="CA249" s="2" t="s">
        <v>212</v>
      </c>
      <c r="CB249" s="50" t="e">
        <f>+#REF!+#REF!+#REF!+#REF!+#REF!+#REF!+#REF!+#REF!+#REF!+#REF!+#REF!+#REF!+#REF!</f>
        <v>#REF!</v>
      </c>
      <c r="CC249" s="76" t="e">
        <f>+CB249*3.85</f>
        <v>#REF!</v>
      </c>
    </row>
    <row r="250" spans="1:81" x14ac:dyDescent="0.45">
      <c r="B250" s="225" t="s">
        <v>213</v>
      </c>
      <c r="C250" s="226"/>
      <c r="D250" s="227">
        <v>785.65</v>
      </c>
      <c r="E250" s="228">
        <v>295</v>
      </c>
      <c r="F250" s="229">
        <f>+E250*D250</f>
        <v>231766.75</v>
      </c>
      <c r="J250" s="230" t="s">
        <v>214</v>
      </c>
      <c r="K250" s="231"/>
      <c r="L250" s="232">
        <f>+L249/M8</f>
        <v>12603.438877114935</v>
      </c>
      <c r="M250" s="233">
        <f>+L250/L257</f>
        <v>0.9241271537461363</v>
      </c>
      <c r="O250" s="75"/>
      <c r="P250" s="75"/>
      <c r="Q250" s="75"/>
      <c r="CB250" s="51" t="e">
        <f>+CC249/3.95</f>
        <v>#REF!</v>
      </c>
      <c r="CC250" s="76"/>
    </row>
    <row r="251" spans="1:81" x14ac:dyDescent="0.45">
      <c r="B251" s="225" t="s">
        <v>215</v>
      </c>
      <c r="C251" s="226"/>
      <c r="D251" s="227">
        <v>95.42</v>
      </c>
      <c r="E251" s="228">
        <v>300</v>
      </c>
      <c r="F251" s="229">
        <f>+E251*D251</f>
        <v>28626</v>
      </c>
      <c r="J251" s="234" t="s">
        <v>216</v>
      </c>
      <c r="K251" s="235"/>
      <c r="L251" s="236">
        <f>+M114</f>
        <v>497724.22702702699</v>
      </c>
      <c r="M251" s="237"/>
      <c r="O251" s="75"/>
      <c r="P251" s="75"/>
      <c r="Q251" s="75"/>
      <c r="R251" s="75"/>
      <c r="S251" s="75"/>
      <c r="T251" s="75"/>
      <c r="CB251" s="50" t="e">
        <f>+CB249-CB250</f>
        <v>#REF!</v>
      </c>
      <c r="CC251" s="76"/>
    </row>
    <row r="252" spans="1:81" x14ac:dyDescent="0.45">
      <c r="B252" s="225" t="s">
        <v>217</v>
      </c>
      <c r="C252" s="226"/>
      <c r="D252" s="227">
        <v>752.93</v>
      </c>
      <c r="E252" s="228">
        <v>280</v>
      </c>
      <c r="F252" s="229">
        <f>+E252*D252</f>
        <v>210820.4</v>
      </c>
      <c r="J252" s="234"/>
      <c r="K252" s="235"/>
      <c r="L252" s="236"/>
      <c r="M252" s="237"/>
      <c r="O252" s="75"/>
      <c r="P252" s="75"/>
      <c r="Q252" s="75"/>
      <c r="R252" s="178" t="s">
        <v>218</v>
      </c>
      <c r="S252" s="178" t="s">
        <v>219</v>
      </c>
      <c r="T252" s="75"/>
    </row>
    <row r="253" spans="1:81" x14ac:dyDescent="0.45">
      <c r="B253" s="238"/>
      <c r="D253" s="143"/>
      <c r="E253" s="41"/>
      <c r="F253" s="239">
        <f>SUM(F250:F252)</f>
        <v>471213.15</v>
      </c>
      <c r="J253" s="230" t="s">
        <v>220</v>
      </c>
      <c r="K253" s="231"/>
      <c r="L253" s="232">
        <f>+L251/M8</f>
        <v>1034.769702758892</v>
      </c>
      <c r="M253" s="233">
        <f>+L253/L257</f>
        <v>7.5872846253863729E-2</v>
      </c>
      <c r="Q253" s="75"/>
      <c r="R253" s="75"/>
      <c r="S253" s="75"/>
      <c r="T253" s="75"/>
    </row>
    <row r="254" spans="1:81" x14ac:dyDescent="0.45">
      <c r="B254" s="238"/>
      <c r="D254" s="143"/>
      <c r="E254" s="41"/>
      <c r="F254" s="240"/>
      <c r="J254" s="234" t="s">
        <v>221</v>
      </c>
      <c r="K254" s="235"/>
      <c r="L254" s="236">
        <f>+M126+M242</f>
        <v>801310.60852013319</v>
      </c>
      <c r="M254" s="237"/>
      <c r="Q254" s="178" t="s">
        <v>19</v>
      </c>
      <c r="R254" s="75">
        <f>+O10</f>
        <v>1532.6431632504812</v>
      </c>
      <c r="S254" s="75">
        <f>+Q10</f>
        <v>2173.0204412223575</v>
      </c>
      <c r="T254" s="75"/>
    </row>
    <row r="255" spans="1:81" ht="14.65" thickBot="1" x14ac:dyDescent="0.5">
      <c r="B255" s="225" t="s">
        <v>222</v>
      </c>
      <c r="C255" s="226"/>
      <c r="D255" s="227">
        <v>85</v>
      </c>
      <c r="E255" s="228">
        <v>305</v>
      </c>
      <c r="F255" s="229">
        <f t="shared" ref="F255" si="39">+E255*D255</f>
        <v>25925</v>
      </c>
      <c r="J255" s="230" t="s">
        <v>223</v>
      </c>
      <c r="K255" s="231"/>
      <c r="L255" s="241">
        <f>+L254/M8</f>
        <v>1665.926421039778</v>
      </c>
      <c r="M255" s="233">
        <f>+L255/L257</f>
        <v>0.12215141096303649</v>
      </c>
      <c r="Q255" s="178"/>
      <c r="R255" s="75"/>
      <c r="S255" s="75"/>
      <c r="T255" s="75"/>
    </row>
    <row r="256" spans="1:81" ht="14.65" thickTop="1" x14ac:dyDescent="0.45">
      <c r="B256" s="225" t="s">
        <v>224</v>
      </c>
      <c r="C256" s="226"/>
      <c r="D256" s="227">
        <v>85</v>
      </c>
      <c r="E256" s="228">
        <v>295</v>
      </c>
      <c r="F256" s="229">
        <f>+E256*D256</f>
        <v>25075</v>
      </c>
      <c r="J256" s="234" t="s">
        <v>225</v>
      </c>
      <c r="K256" s="235"/>
      <c r="L256" s="242">
        <f>+M244-M242-M126</f>
        <v>6559978.3269193107</v>
      </c>
      <c r="M256" s="243"/>
      <c r="Q256" s="178" t="s">
        <v>226</v>
      </c>
      <c r="R256" s="75">
        <f>+O65</f>
        <v>9960.4368433053587</v>
      </c>
      <c r="S256" s="75">
        <f>+Q65</f>
        <v>13136.835154964767</v>
      </c>
      <c r="T256" s="75"/>
    </row>
    <row r="257" spans="2:22" ht="14.65" thickBot="1" x14ac:dyDescent="0.5">
      <c r="B257" s="225" t="s">
        <v>227</v>
      </c>
      <c r="C257" s="244"/>
      <c r="D257" s="227">
        <v>85</v>
      </c>
      <c r="E257" s="245">
        <v>280</v>
      </c>
      <c r="F257" s="246">
        <f>+E257*D257</f>
        <v>23800</v>
      </c>
      <c r="J257" s="247" t="s">
        <v>228</v>
      </c>
      <c r="K257" s="248"/>
      <c r="L257" s="249">
        <f>+L256/M8</f>
        <v>13638.208579873826</v>
      </c>
      <c r="M257" s="250"/>
      <c r="Q257" s="251" t="s">
        <v>229</v>
      </c>
      <c r="R257" s="147">
        <f>+O126</f>
        <v>1459.8069804185241</v>
      </c>
      <c r="S257" s="147">
        <f>+Q126</f>
        <v>1056.3743889419566</v>
      </c>
      <c r="T257" s="75"/>
    </row>
    <row r="258" spans="2:22" ht="14.65" thickBot="1" x14ac:dyDescent="0.5">
      <c r="B258" s="225"/>
      <c r="C258" s="244"/>
      <c r="D258" s="227"/>
      <c r="E258" s="245"/>
      <c r="F258" s="252">
        <f>SUM(F255:F257)</f>
        <v>74800</v>
      </c>
      <c r="Q258" s="251" t="s">
        <v>230</v>
      </c>
      <c r="R258" s="8">
        <f>+O242</f>
        <v>136.04715501860559</v>
      </c>
      <c r="S258" s="8">
        <f>+Q242</f>
        <v>136.04715501860559</v>
      </c>
    </row>
    <row r="259" spans="2:22" ht="14.65" thickTop="1" x14ac:dyDescent="0.45">
      <c r="B259" s="225"/>
      <c r="C259" s="244"/>
      <c r="D259" s="227"/>
      <c r="E259" s="245"/>
      <c r="F259" s="246"/>
      <c r="Q259" s="251" t="s">
        <v>226</v>
      </c>
      <c r="R259" s="6">
        <f>SUM(R256:R258)</f>
        <v>11556.290978742487</v>
      </c>
      <c r="S259" s="106">
        <f>SUM(S256:S258)</f>
        <v>14329.256698925328</v>
      </c>
      <c r="T259" s="106">
        <f>+S259+S254</f>
        <v>16502.277140147686</v>
      </c>
      <c r="U259" s="60">
        <f>+R254+R259</f>
        <v>13088.934141992968</v>
      </c>
      <c r="V259" s="60">
        <f>+S254+S259</f>
        <v>16502.277140147686</v>
      </c>
    </row>
    <row r="260" spans="2:22" ht="14.65" thickBot="1" x14ac:dyDescent="0.5">
      <c r="B260" s="253"/>
      <c r="C260" s="254"/>
      <c r="D260" s="254">
        <f>SUM(D250:D257)</f>
        <v>1889</v>
      </c>
      <c r="E260" s="255">
        <f>+F260/D260</f>
        <v>289.04878242456329</v>
      </c>
      <c r="F260" s="256">
        <f>+F253+F258</f>
        <v>546013.15</v>
      </c>
      <c r="Q260" s="6">
        <f>+R259+R254</f>
        <v>13088.934141992968</v>
      </c>
    </row>
    <row r="261" spans="2:22" ht="14.65" thickBot="1" x14ac:dyDescent="0.5">
      <c r="Q261" s="178" t="s">
        <v>109</v>
      </c>
      <c r="R261" s="257">
        <f>+O114</f>
        <v>1034.7559117630988</v>
      </c>
      <c r="S261" s="257">
        <f>+Q114</f>
        <v>966.95468140725882</v>
      </c>
    </row>
    <row r="262" spans="2:22" ht="14.65" thickTop="1" x14ac:dyDescent="0.45">
      <c r="Q262" s="178"/>
      <c r="R262" s="258">
        <f>+R254+R259+R261</f>
        <v>14123.690053756067</v>
      </c>
      <c r="S262" s="258">
        <f>+S254+S259+S261</f>
        <v>17469.231821554946</v>
      </c>
    </row>
    <row r="265" spans="2:22" x14ac:dyDescent="0.45">
      <c r="R265" s="6">
        <f>+R254+R259</f>
        <v>13088.934141992968</v>
      </c>
      <c r="S265" s="6">
        <f>+S254+S259</f>
        <v>16502.277140147686</v>
      </c>
    </row>
  </sheetData>
  <mergeCells count="9">
    <mergeCell ref="J249:K249"/>
    <mergeCell ref="A2:J2"/>
    <mergeCell ref="A3:G3"/>
    <mergeCell ref="D7:F7"/>
    <mergeCell ref="G7:I7"/>
    <mergeCell ref="J7:L7"/>
    <mergeCell ref="D8:E8"/>
    <mergeCell ref="G8:H8"/>
    <mergeCell ref="J8:K8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13" fitToHeight="2" orientation="landscape" horizontalDpi="4294967293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 481 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Octavio González Calderón</dc:creator>
  <cp:lastModifiedBy>Eduardo Octavio González Calderón</cp:lastModifiedBy>
  <dcterms:created xsi:type="dcterms:W3CDTF">2026-02-04T23:56:43Z</dcterms:created>
  <dcterms:modified xsi:type="dcterms:W3CDTF">2026-02-04T23:57:43Z</dcterms:modified>
</cp:coreProperties>
</file>