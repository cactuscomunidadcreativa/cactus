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uardo Gonzales\Desktop\Documents\A ARCHIVOS EGC\AGRILOR\ANIKAMA\REPORTES DE PRODUCCION\"/>
    </mc:Choice>
  </mc:AlternateContent>
  <xr:revisionPtr revIDLastSave="0" documentId="13_ncr:1_{688FC1AD-761E-4C24-9F70-5E477E8A3A71}" xr6:coauthVersionLast="47" xr6:coauthVersionMax="47" xr10:uidLastSave="{00000000-0000-0000-0000-000000000000}"/>
  <bookViews>
    <workbookView xWindow="-110" yWindow="-110" windowWidth="19420" windowHeight="10420" tabRatio="817" xr2:uid="{00000000-000D-0000-FFFF-FFFF00000000}"/>
  </bookViews>
  <sheets>
    <sheet name="TABLERO" sheetId="1" r:id="rId1"/>
    <sheet name="PRESUPUESTO_BASE" sheetId="2" r:id="rId2"/>
    <sheet name="PARAM_AVANCE_INVIERNO" sheetId="3" r:id="rId3"/>
    <sheet name="PARAM_AVANCE_VERANO" sheetId="4" r:id="rId4"/>
    <sheet name="SELECTOR" sheetId="5" r:id="rId5"/>
    <sheet name="COMPARATIV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4" i="6" l="1"/>
  <c r="F24" i="6"/>
  <c r="C24" i="6"/>
  <c r="L23" i="6"/>
  <c r="H23" i="6"/>
  <c r="E23" i="6"/>
  <c r="B23" i="6"/>
  <c r="L22" i="6"/>
  <c r="H22" i="6"/>
  <c r="E22" i="6"/>
  <c r="B22" i="6"/>
  <c r="K22" i="6" s="1"/>
  <c r="L21" i="6"/>
  <c r="H21" i="6"/>
  <c r="E21" i="6"/>
  <c r="B21" i="6"/>
  <c r="L20" i="6"/>
  <c r="H20" i="6"/>
  <c r="E20" i="6"/>
  <c r="B20" i="6"/>
  <c r="K20" i="6" s="1"/>
  <c r="L19" i="6"/>
  <c r="K19" i="6"/>
  <c r="H19" i="6"/>
  <c r="E19" i="6"/>
  <c r="B19" i="6"/>
  <c r="L18" i="6"/>
  <c r="H18" i="6"/>
  <c r="E18" i="6"/>
  <c r="B18" i="6"/>
  <c r="L17" i="6"/>
  <c r="H17" i="6"/>
  <c r="E17" i="6"/>
  <c r="B17" i="6"/>
  <c r="K17" i="6" s="1"/>
  <c r="L16" i="6"/>
  <c r="H16" i="6"/>
  <c r="E16" i="6"/>
  <c r="B16" i="6"/>
  <c r="K16" i="6" s="1"/>
  <c r="L15" i="6"/>
  <c r="K15" i="6"/>
  <c r="H15" i="6"/>
  <c r="E15" i="6"/>
  <c r="B15" i="6"/>
  <c r="L14" i="6"/>
  <c r="H14" i="6"/>
  <c r="E14" i="6"/>
  <c r="B14" i="6"/>
  <c r="L13" i="6"/>
  <c r="H13" i="6"/>
  <c r="E13" i="6"/>
  <c r="B13" i="6"/>
  <c r="K13" i="6" s="1"/>
  <c r="L12" i="6"/>
  <c r="H12" i="6"/>
  <c r="E12" i="6"/>
  <c r="B12" i="6"/>
  <c r="K12" i="6" s="1"/>
  <c r="L11" i="6"/>
  <c r="H11" i="6"/>
  <c r="E11" i="6"/>
  <c r="B11" i="6"/>
  <c r="K11" i="6" s="1"/>
  <c r="L10" i="6"/>
  <c r="H10" i="6"/>
  <c r="E10" i="6"/>
  <c r="B10" i="6"/>
  <c r="L9" i="6"/>
  <c r="H9" i="6"/>
  <c r="E9" i="6"/>
  <c r="B9" i="6"/>
  <c r="K9" i="6" s="1"/>
  <c r="L8" i="6"/>
  <c r="H8" i="6"/>
  <c r="E8" i="6"/>
  <c r="B8" i="6"/>
  <c r="K8" i="6" s="1"/>
  <c r="L7" i="6"/>
  <c r="H7" i="6"/>
  <c r="E7" i="6"/>
  <c r="B7" i="6"/>
  <c r="K7" i="6" s="1"/>
  <c r="L6" i="6"/>
  <c r="H6" i="6"/>
  <c r="E6" i="6"/>
  <c r="B6" i="6"/>
  <c r="L5" i="6"/>
  <c r="H5" i="6"/>
  <c r="E5" i="6"/>
  <c r="B5" i="6"/>
  <c r="K5" i="6" s="1"/>
  <c r="L4" i="6"/>
  <c r="H4" i="6"/>
  <c r="E4" i="6"/>
  <c r="B4" i="6"/>
  <c r="K4" i="6" s="1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D61" i="5" s="1"/>
  <c r="I4" i="3"/>
  <c r="E24" i="2"/>
  <c r="D24" i="2"/>
  <c r="C24" i="2"/>
  <c r="B24" i="2"/>
  <c r="G23" i="2"/>
  <c r="E23" i="2"/>
  <c r="F23" i="2" s="1"/>
  <c r="G22" i="2"/>
  <c r="F22" i="2"/>
  <c r="E22" i="2"/>
  <c r="E21" i="2"/>
  <c r="G21" i="2" s="1"/>
  <c r="F20" i="2"/>
  <c r="E20" i="2"/>
  <c r="G20" i="2" s="1"/>
  <c r="E19" i="2"/>
  <c r="F19" i="2" s="1"/>
  <c r="G18" i="2"/>
  <c r="F18" i="2"/>
  <c r="E18" i="2"/>
  <c r="G17" i="2"/>
  <c r="F17" i="2"/>
  <c r="E17" i="2"/>
  <c r="E16" i="2"/>
  <c r="G16" i="2" s="1"/>
  <c r="G15" i="2"/>
  <c r="E15" i="2"/>
  <c r="F15" i="2" s="1"/>
  <c r="G14" i="2"/>
  <c r="F14" i="2"/>
  <c r="E14" i="2"/>
  <c r="E13" i="2"/>
  <c r="G13" i="2" s="1"/>
  <c r="F12" i="2"/>
  <c r="E12" i="2"/>
  <c r="G12" i="2" s="1"/>
  <c r="E11" i="2"/>
  <c r="F11" i="2" s="1"/>
  <c r="G10" i="2"/>
  <c r="F10" i="2"/>
  <c r="E10" i="2"/>
  <c r="G9" i="2"/>
  <c r="F9" i="2"/>
  <c r="E9" i="2"/>
  <c r="E8" i="2"/>
  <c r="G8" i="2" s="1"/>
  <c r="G7" i="2"/>
  <c r="E7" i="2"/>
  <c r="F7" i="2" s="1"/>
  <c r="G6" i="2"/>
  <c r="F6" i="2"/>
  <c r="E6" i="2"/>
  <c r="E5" i="2"/>
  <c r="G5" i="2" s="1"/>
  <c r="F4" i="2"/>
  <c r="E4" i="2"/>
  <c r="G4" i="2" s="1"/>
  <c r="B4" i="1"/>
  <c r="D4" i="5" s="1"/>
  <c r="D4" i="6" s="1" a="1"/>
  <c r="D4" i="6" s="1"/>
  <c r="D5" i="5" l="1"/>
  <c r="D17" i="5"/>
  <c r="D33" i="5"/>
  <c r="D41" i="5"/>
  <c r="G16" i="6" s="1" a="1"/>
  <c r="G16" i="6" s="1"/>
  <c r="D49" i="5"/>
  <c r="D57" i="5"/>
  <c r="D15" i="5"/>
  <c r="D19" i="5"/>
  <c r="D9" i="6" s="1" a="1"/>
  <c r="D9" i="6" s="1"/>
  <c r="D43" i="5"/>
  <c r="D59" i="5"/>
  <c r="D9" i="5"/>
  <c r="D13" i="5"/>
  <c r="D7" i="6" s="1" a="1"/>
  <c r="D7" i="6" s="1"/>
  <c r="D25" i="5"/>
  <c r="D7" i="5"/>
  <c r="D11" i="5"/>
  <c r="D27" i="5"/>
  <c r="J11" i="6" s="1" a="1"/>
  <c r="J11" i="6" s="1"/>
  <c r="D35" i="5"/>
  <c r="D51" i="5"/>
  <c r="G24" i="2"/>
  <c r="D6" i="5"/>
  <c r="J4" i="6" s="1" a="1"/>
  <c r="J4" i="6" s="1"/>
  <c r="D8" i="5"/>
  <c r="D10" i="5"/>
  <c r="D12" i="5"/>
  <c r="J6" i="6" s="1" a="1"/>
  <c r="J6" i="6" s="1"/>
  <c r="D14" i="5"/>
  <c r="G7" i="6" s="1" a="1"/>
  <c r="G7" i="6" s="1"/>
  <c r="D16" i="5"/>
  <c r="D21" i="5"/>
  <c r="J9" i="6" s="1" a="1"/>
  <c r="J9" i="6" s="1"/>
  <c r="D29" i="5"/>
  <c r="D37" i="5"/>
  <c r="D15" i="6" s="1" a="1"/>
  <c r="D15" i="6" s="1"/>
  <c r="D45" i="5"/>
  <c r="D53" i="5"/>
  <c r="G20" i="6" s="1" a="1"/>
  <c r="G20" i="6" s="1"/>
  <c r="G6" i="6" a="1"/>
  <c r="G6" i="6" s="1"/>
  <c r="G14" i="6" a="1"/>
  <c r="G14" i="6" s="1"/>
  <c r="K18" i="6"/>
  <c r="K24" i="6" s="1"/>
  <c r="J21" i="6" a="1"/>
  <c r="J21" i="6" s="1"/>
  <c r="D23" i="6" a="1"/>
  <c r="D23" i="6" s="1"/>
  <c r="K23" i="6"/>
  <c r="J5" i="6" a="1"/>
  <c r="J5" i="6" s="1"/>
  <c r="D8" i="6" a="1"/>
  <c r="D8" i="6" s="1"/>
  <c r="D11" i="6" a="1"/>
  <c r="D11" i="6" s="1"/>
  <c r="J13" i="6" a="1"/>
  <c r="J13" i="6" s="1"/>
  <c r="J17" i="6" a="1"/>
  <c r="J17" i="6" s="1"/>
  <c r="D19" i="6" a="1"/>
  <c r="D19" i="6" s="1"/>
  <c r="G22" i="6" a="1"/>
  <c r="G22" i="6" s="1"/>
  <c r="F5" i="2"/>
  <c r="F24" i="2" s="1"/>
  <c r="F8" i="2"/>
  <c r="G11" i="2"/>
  <c r="F13" i="2"/>
  <c r="F16" i="2"/>
  <c r="G19" i="2"/>
  <c r="F21" i="2"/>
  <c r="G4" i="6" a="1"/>
  <c r="G4" i="6" s="1"/>
  <c r="E24" i="6"/>
  <c r="K6" i="6"/>
  <c r="G8" i="6" a="1"/>
  <c r="G8" i="6" s="1"/>
  <c r="K10" i="6"/>
  <c r="G12" i="6" a="1"/>
  <c r="G12" i="6" s="1"/>
  <c r="K14" i="6"/>
  <c r="D32" i="5"/>
  <c r="G13" i="6" s="1" a="1"/>
  <c r="G13" i="6" s="1"/>
  <c r="D30" i="5"/>
  <c r="J12" i="6" s="1" a="1"/>
  <c r="J12" i="6" s="1"/>
  <c r="D28" i="5"/>
  <c r="D12" i="6" s="1" a="1"/>
  <c r="D12" i="6" s="1"/>
  <c r="D26" i="5"/>
  <c r="G11" i="6" s="1" a="1"/>
  <c r="G11" i="6" s="1"/>
  <c r="D24" i="5"/>
  <c r="J10" i="6" s="1" a="1"/>
  <c r="J10" i="6" s="1"/>
  <c r="D22" i="5"/>
  <c r="D20" i="5"/>
  <c r="G9" i="6" s="1" a="1"/>
  <c r="G9" i="6" s="1"/>
  <c r="D18" i="5"/>
  <c r="J8" i="6" s="1" a="1"/>
  <c r="J8" i="6" s="1"/>
  <c r="L24" i="6"/>
  <c r="D62" i="5"/>
  <c r="G23" i="6" s="1" a="1"/>
  <c r="G23" i="6" s="1"/>
  <c r="D23" i="5"/>
  <c r="G10" i="6" s="1" a="1"/>
  <c r="G10" i="6" s="1"/>
  <c r="D31" i="5"/>
  <c r="D13" i="6" s="1" a="1"/>
  <c r="D13" i="6" s="1"/>
  <c r="D39" i="5"/>
  <c r="J15" i="6" s="1" a="1"/>
  <c r="J15" i="6" s="1"/>
  <c r="D47" i="5"/>
  <c r="G18" i="6" s="1" a="1"/>
  <c r="G18" i="6" s="1"/>
  <c r="D55" i="5"/>
  <c r="D21" i="6" s="1" a="1"/>
  <c r="D21" i="6" s="1"/>
  <c r="D63" i="5"/>
  <c r="J23" i="6" s="1" a="1"/>
  <c r="J23" i="6" s="1"/>
  <c r="H24" i="6"/>
  <c r="D5" i="6" a="1"/>
  <c r="D5" i="6" s="1"/>
  <c r="G5" i="6" a="1"/>
  <c r="G5" i="6" s="1"/>
  <c r="D6" i="6" a="1"/>
  <c r="D6" i="6" s="1"/>
  <c r="J7" i="6" a="1"/>
  <c r="J7" i="6" s="1"/>
  <c r="D10" i="6" a="1"/>
  <c r="D10" i="6" s="1"/>
  <c r="D17" i="6" a="1"/>
  <c r="D17" i="6" s="1"/>
  <c r="J19" i="6" a="1"/>
  <c r="J19" i="6" s="1"/>
  <c r="K21" i="6"/>
  <c r="B24" i="6"/>
  <c r="D34" i="5"/>
  <c r="D14" i="6" s="1" a="1"/>
  <c r="D14" i="6" s="1"/>
  <c r="D36" i="5"/>
  <c r="J14" i="6" s="1" a="1"/>
  <c r="J14" i="6" s="1"/>
  <c r="D38" i="5"/>
  <c r="G15" i="6" s="1" a="1"/>
  <c r="G15" i="6" s="1"/>
  <c r="D40" i="5"/>
  <c r="D16" i="6" s="1" a="1"/>
  <c r="D16" i="6" s="1"/>
  <c r="D42" i="5"/>
  <c r="J16" i="6" s="1" a="1"/>
  <c r="J16" i="6" s="1"/>
  <c r="D44" i="5"/>
  <c r="G17" i="6" s="1" a="1"/>
  <c r="G17" i="6" s="1"/>
  <c r="D46" i="5"/>
  <c r="D18" i="6" s="1" a="1"/>
  <c r="D18" i="6" s="1"/>
  <c r="D48" i="5"/>
  <c r="J18" i="6" s="1" a="1"/>
  <c r="J18" i="6" s="1"/>
  <c r="D50" i="5"/>
  <c r="G19" i="6" s="1" a="1"/>
  <c r="G19" i="6" s="1"/>
  <c r="D52" i="5"/>
  <c r="D20" i="6" s="1" a="1"/>
  <c r="D20" i="6" s="1"/>
  <c r="D54" i="5"/>
  <c r="J20" i="6" s="1" a="1"/>
  <c r="J20" i="6" s="1"/>
  <c r="D56" i="5"/>
  <c r="G21" i="6" s="1" a="1"/>
  <c r="G21" i="6" s="1"/>
  <c r="D58" i="5"/>
  <c r="D22" i="6" s="1" a="1"/>
  <c r="D22" i="6" s="1"/>
  <c r="D60" i="5"/>
  <c r="J22" i="6" s="1" a="1"/>
  <c r="J22" i="6" s="1"/>
  <c r="M13" i="6" l="1"/>
  <c r="M14" i="6"/>
  <c r="O14" i="6" s="1"/>
  <c r="M12" i="6"/>
  <c r="O12" i="6" s="1"/>
  <c r="M4" i="6"/>
  <c r="N4" i="6" s="1"/>
  <c r="M18" i="6"/>
  <c r="O13" i="6"/>
  <c r="N13" i="6"/>
  <c r="M20" i="6"/>
  <c r="M17" i="6"/>
  <c r="M6" i="6"/>
  <c r="M8" i="6"/>
  <c r="M16" i="6"/>
  <c r="M7" i="6"/>
  <c r="M22" i="6"/>
  <c r="M21" i="6"/>
  <c r="M10" i="6"/>
  <c r="M5" i="6"/>
  <c r="D24" i="6"/>
  <c r="M9" i="6"/>
  <c r="M23" i="6"/>
  <c r="G24" i="6"/>
  <c r="M19" i="6"/>
  <c r="M11" i="6"/>
  <c r="N14" i="6"/>
  <c r="J24" i="6"/>
  <c r="M15" i="6"/>
  <c r="N12" i="6" l="1"/>
  <c r="O4" i="6"/>
  <c r="O11" i="6"/>
  <c r="N11" i="6"/>
  <c r="O21" i="6"/>
  <c r="N21" i="6"/>
  <c r="O15" i="6"/>
  <c r="N15" i="6"/>
  <c r="O6" i="6"/>
  <c r="N6" i="6"/>
  <c r="O5" i="6"/>
  <c r="N5" i="6"/>
  <c r="O17" i="6"/>
  <c r="N17" i="6"/>
  <c r="O9" i="6"/>
  <c r="N9" i="6"/>
  <c r="O8" i="6"/>
  <c r="N8" i="6"/>
  <c r="O19" i="6"/>
  <c r="N19" i="6"/>
  <c r="O22" i="6"/>
  <c r="N22" i="6"/>
  <c r="O7" i="6"/>
  <c r="N7" i="6"/>
  <c r="O23" i="6"/>
  <c r="N23" i="6"/>
  <c r="O10" i="6"/>
  <c r="N10" i="6"/>
  <c r="O16" i="6"/>
  <c r="N16" i="6"/>
  <c r="O20" i="6"/>
  <c r="N20" i="6"/>
  <c r="M24" i="6"/>
  <c r="O18" i="6"/>
  <c r="N18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<sst xmlns="http://schemas.openxmlformats.org/spreadsheetml/2006/main" count="473" uniqueCount="70">
  <si>
    <t>Campaña (Invierno/Verano)</t>
  </si>
  <si>
    <t>Mes (texto: Jul, Ago, Sep, Oct, Nov, Dic / Ene..Jun)</t>
  </si>
  <si>
    <t>Jul</t>
  </si>
  <si>
    <t>TC (S/ por USD)</t>
  </si>
  <si>
    <t>Mes Inv</t>
  </si>
  <si>
    <t>Idx Inv</t>
  </si>
  <si>
    <t>Mes Ver</t>
  </si>
  <si>
    <t>Idx Ver</t>
  </si>
  <si>
    <t>Ene</t>
  </si>
  <si>
    <t>Ago</t>
  </si>
  <si>
    <t>Feb</t>
  </si>
  <si>
    <t>Sep</t>
  </si>
  <si>
    <t>Mar</t>
  </si>
  <si>
    <t>Oct</t>
  </si>
  <si>
    <t>Abr</t>
  </si>
  <si>
    <t>Nov</t>
  </si>
  <si>
    <t>May</t>
  </si>
  <si>
    <t>Dic</t>
  </si>
  <si>
    <t>Jun</t>
  </si>
  <si>
    <t>Índice mes</t>
  </si>
  <si>
    <t>Presupuesto base por rubro y proceso (USD)</t>
  </si>
  <si>
    <t>Rubro</t>
  </si>
  <si>
    <t>Almácigo</t>
  </si>
  <si>
    <t>Campo definitivo</t>
  </si>
  <si>
    <t>Packing</t>
  </si>
  <si>
    <t>TOTAL</t>
  </si>
  <si>
    <t>Inv 50%</t>
  </si>
  <si>
    <t>Ver 50%</t>
  </si>
  <si>
    <t>Semilla</t>
  </si>
  <si>
    <t>Alquiler de campo</t>
  </si>
  <si>
    <t>Accesorios de riego</t>
  </si>
  <si>
    <t>Materia Orgánica</t>
  </si>
  <si>
    <t>Agua</t>
  </si>
  <si>
    <t>Alquiler de Maquinaria</t>
  </si>
  <si>
    <t>Fertilizantes / Abono Organico</t>
  </si>
  <si>
    <t>Agroquimicos / Foliares</t>
  </si>
  <si>
    <t>Personal Eventual s/ contrato</t>
  </si>
  <si>
    <t>Transport costs</t>
  </si>
  <si>
    <t>Arpillas Campo</t>
  </si>
  <si>
    <t>Servicio de terceros</t>
  </si>
  <si>
    <t>Certificación HACCP/SENASA</t>
  </si>
  <si>
    <t>Estiba por contenedor</t>
  </si>
  <si>
    <t>Gas Montacargas</t>
  </si>
  <si>
    <t>Energía Packing</t>
  </si>
  <si>
    <t>Depreciaciones</t>
  </si>
  <si>
    <t>MANTENIMIENTO Y REPARACION</t>
  </si>
  <si>
    <t>SUMINISTROS</t>
  </si>
  <si>
    <t>VARIOS</t>
  </si>
  <si>
    <t>% avance mensual – PARAM_AVANCE_INVIERNO</t>
  </si>
  <si>
    <t>Proceso</t>
  </si>
  <si>
    <t>Clave</t>
  </si>
  <si>
    <t>% avance mensual – PARAM_AVANCE_VERANO</t>
  </si>
  <si>
    <t>Factor acumulado por Rubro|Proceso según TABLERO</t>
  </si>
  <si>
    <t>Factor</t>
  </si>
  <si>
    <t>Comparativo Presupuesto vs Real – dinámico (sin nombres)</t>
  </si>
  <si>
    <t>Presu Almácigo (USD)</t>
  </si>
  <si>
    <t>Real Almácigo (USD)</t>
  </si>
  <si>
    <t>Presu Acum Almácigo (USD)</t>
  </si>
  <si>
    <t>Presu Campo (USD)</t>
  </si>
  <si>
    <t>Real Campo (USD)</t>
  </si>
  <si>
    <t>Presu Acum Campo (USD)</t>
  </si>
  <si>
    <t>Presu Packing (USD)</t>
  </si>
  <si>
    <t>Real Packing (USD)</t>
  </si>
  <si>
    <t>Presu Acum Packing (USD)</t>
  </si>
  <si>
    <t>Total Presu (USD)</t>
  </si>
  <si>
    <t>Total Real (USD)</t>
  </si>
  <si>
    <t>Total Presu Acum (USD)</t>
  </si>
  <si>
    <t>Dif vs Presu Acum (USD)</t>
  </si>
  <si>
    <t>Dif vs Presu Acum (%)</t>
  </si>
  <si>
    <t>Verano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</si>
</sst>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%"/>
    <numFmt numFmtId="165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/>
    <xf numFmtId="4" fontId="0" fillId="0" borderId="0" xfId="0" applyNumberFormat="1"/>
    <xf numFmtId="0" fontId="2" fillId="0" borderId="0" xfId="0" applyFont="1"/>
    <xf numFmtId="0" fontId="1" fillId="0" borderId="0" xfId="0" applyFont="1"/>
    <xf numFmtId="164" fontId="0" fillId="0" borderId="0" xfId="0" applyNumberFormat="1"/>
    <xf numFmtId="165" fontId="0" fillId="0" borderId="0" xfId="1" applyNumberFormat="1" applyFont="1"/>
    <xf numFmtId="165" fontId="1" fillId="2" borderId="1" xfId="1" applyNumberFormat="1" applyFont="1" applyFill="1" applyBorder="1"/>
    <xf numFmtId="165" fontId="1" fillId="2" borderId="1" xfId="1" applyNumberFormat="1" applyFont="1" applyFill="1" applyBorder="1" applyAlignment="1">
      <alignment horizontal="center" wrapText="1"/>
    </xf>
    <xf numFmtId="165" fontId="1" fillId="0" borderId="0" xfId="1" applyNumberFormat="1" applyFont="1"/>
    <xf numFmtId="164" fontId="0" fillId="3" borderId="0" xfId="0" applyNumberFormat="1" applyFill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zoomScale="70" zoomScaleNormal="70" workbookViewId="0">
      <selection activeCell="A3" sqref="A3"/>
    </sheetView>
  </sheetViews>
  <sheetFormatPr baseColWidth="10" defaultColWidth="8.7265625" defaultRowHeight="14.5" x14ac:dyDescent="0.35"/>
  <cols>
    <col min="1" max="1" width="29.08984375" customWidth="1"/>
  </cols>
  <sheetData>
    <row r="1" spans="1:7" x14ac:dyDescent="0.35">
      <c r="A1" t="s">
        <v>0</v>
      </c>
      <c r="B1" t="s">
        <v>69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35">
      <c r="A2" t="s">
        <v>1</v>
      </c>
      <c r="B2" t="s">
        <v>18</v>
      </c>
      <c r="D2" t="s">
        <v>2</v>
      </c>
      <c r="E2">
        <v>1</v>
      </c>
      <c r="F2" t="s">
        <v>8</v>
      </c>
      <c r="G2">
        <v>1</v>
      </c>
    </row>
    <row r="3" spans="1:7" x14ac:dyDescent="0.35">
      <c r="A3" t="s">
        <v>3</v>
      </c>
      <c r="B3" s="2">
        <v>3.8</v>
      </c>
      <c r="D3" t="s">
        <v>9</v>
      </c>
      <c r="E3">
        <v>2</v>
      </c>
      <c r="F3" t="s">
        <v>10</v>
      </c>
      <c r="G3">
        <v>2</v>
      </c>
    </row>
    <row r="4" spans="1:7" x14ac:dyDescent="0.35">
      <c r="A4" t="s">
        <v>19</v>
      </c>
      <c r="B4">
        <f>IF(B1="Invierno", VLOOKUP(B2, $D$2:$E$7, 2, FALSE), VLOOKUP(B2, $F$2:$G$7, 2, FALSE))</f>
        <v>6</v>
      </c>
      <c r="D4" t="s">
        <v>11</v>
      </c>
      <c r="E4">
        <v>3</v>
      </c>
      <c r="F4" t="s">
        <v>12</v>
      </c>
      <c r="G4">
        <v>3</v>
      </c>
    </row>
    <row r="5" spans="1:7" x14ac:dyDescent="0.35">
      <c r="D5" t="s">
        <v>13</v>
      </c>
      <c r="E5">
        <v>4</v>
      </c>
      <c r="F5" t="s">
        <v>14</v>
      </c>
      <c r="G5">
        <v>4</v>
      </c>
    </row>
    <row r="6" spans="1:7" x14ac:dyDescent="0.35">
      <c r="D6" t="s">
        <v>15</v>
      </c>
      <c r="E6">
        <v>5</v>
      </c>
      <c r="F6" t="s">
        <v>16</v>
      </c>
      <c r="G6">
        <v>5</v>
      </c>
    </row>
    <row r="7" spans="1:7" x14ac:dyDescent="0.35">
      <c r="D7" t="s">
        <v>17</v>
      </c>
      <c r="E7">
        <v>6</v>
      </c>
      <c r="F7" t="s">
        <v>18</v>
      </c>
      <c r="G7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"/>
  <sheetViews>
    <sheetView zoomScale="80" zoomScaleNormal="8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G24" sqref="G24"/>
    </sheetView>
  </sheetViews>
  <sheetFormatPr baseColWidth="10" defaultColWidth="8.7265625" defaultRowHeight="14.5" x14ac:dyDescent="0.35"/>
  <cols>
    <col min="1" max="1" width="34.7265625" customWidth="1"/>
    <col min="2" max="7" width="16.7265625" style="6" customWidth="1"/>
  </cols>
  <sheetData>
    <row r="1" spans="1:7" ht="15.5" x14ac:dyDescent="0.35">
      <c r="A1" s="3" t="s">
        <v>20</v>
      </c>
    </row>
    <row r="3" spans="1:7" x14ac:dyDescent="0.35">
      <c r="A3" s="1" t="s">
        <v>21</v>
      </c>
      <c r="B3" s="7" t="s">
        <v>22</v>
      </c>
      <c r="C3" s="7" t="s">
        <v>23</v>
      </c>
      <c r="D3" s="7" t="s">
        <v>24</v>
      </c>
      <c r="E3" s="7" t="s">
        <v>25</v>
      </c>
      <c r="F3" s="7" t="s">
        <v>26</v>
      </c>
      <c r="G3" s="7" t="s">
        <v>27</v>
      </c>
    </row>
    <row r="4" spans="1:7" x14ac:dyDescent="0.35">
      <c r="A4" t="s">
        <v>28</v>
      </c>
      <c r="B4" s="6">
        <v>546013</v>
      </c>
      <c r="C4" s="6">
        <v>0</v>
      </c>
      <c r="D4" s="6">
        <v>0</v>
      </c>
      <c r="E4" s="6">
        <f t="shared" ref="E4:E23" si="0">SUM(B4:D4)</f>
        <v>546013</v>
      </c>
      <c r="F4" s="6">
        <f t="shared" ref="F4:F23" si="1">E4/2</f>
        <v>273006.5</v>
      </c>
      <c r="G4" s="6">
        <f t="shared" ref="G4:G23" si="2">E4/2</f>
        <v>273006.5</v>
      </c>
    </row>
    <row r="5" spans="1:7" x14ac:dyDescent="0.35">
      <c r="A5" t="s">
        <v>29</v>
      </c>
      <c r="B5" s="6">
        <v>0</v>
      </c>
      <c r="C5" s="6">
        <v>752284</v>
      </c>
      <c r="D5" s="6">
        <v>0</v>
      </c>
      <c r="E5" s="6">
        <f t="shared" si="0"/>
        <v>752284</v>
      </c>
      <c r="F5" s="6">
        <f t="shared" si="1"/>
        <v>376142</v>
      </c>
      <c r="G5" s="6">
        <f t="shared" si="2"/>
        <v>376142</v>
      </c>
    </row>
    <row r="6" spans="1:7" x14ac:dyDescent="0.35">
      <c r="A6" t="s">
        <v>30</v>
      </c>
      <c r="B6" s="6">
        <v>0</v>
      </c>
      <c r="C6" s="6">
        <v>218817</v>
      </c>
      <c r="D6" s="6">
        <v>0</v>
      </c>
      <c r="E6" s="6">
        <f t="shared" si="0"/>
        <v>218817</v>
      </c>
      <c r="F6" s="6">
        <f t="shared" si="1"/>
        <v>109408.5</v>
      </c>
      <c r="G6" s="6">
        <f t="shared" si="2"/>
        <v>109408.5</v>
      </c>
    </row>
    <row r="7" spans="1:7" x14ac:dyDescent="0.35">
      <c r="A7" t="s">
        <v>31</v>
      </c>
      <c r="B7" s="6">
        <v>42675</v>
      </c>
      <c r="C7" s="6">
        <v>576761</v>
      </c>
      <c r="D7" s="6">
        <v>0</v>
      </c>
      <c r="E7" s="6">
        <f t="shared" si="0"/>
        <v>619436</v>
      </c>
      <c r="F7" s="6">
        <f t="shared" si="1"/>
        <v>309718</v>
      </c>
      <c r="G7" s="6">
        <f t="shared" si="2"/>
        <v>309718</v>
      </c>
    </row>
    <row r="8" spans="1:7" x14ac:dyDescent="0.35">
      <c r="A8" t="s">
        <v>32</v>
      </c>
      <c r="B8" s="6">
        <v>36268</v>
      </c>
      <c r="C8" s="6">
        <v>455058</v>
      </c>
      <c r="D8" s="6">
        <v>0</v>
      </c>
      <c r="E8" s="6">
        <f t="shared" si="0"/>
        <v>491326</v>
      </c>
      <c r="F8" s="6">
        <f t="shared" si="1"/>
        <v>245663</v>
      </c>
      <c r="G8" s="6">
        <f t="shared" si="2"/>
        <v>245663</v>
      </c>
    </row>
    <row r="9" spans="1:7" x14ac:dyDescent="0.35">
      <c r="A9" t="s">
        <v>33</v>
      </c>
      <c r="B9" s="6">
        <v>13989</v>
      </c>
      <c r="C9" s="6">
        <v>314258</v>
      </c>
      <c r="D9" s="6">
        <v>0</v>
      </c>
      <c r="E9" s="6">
        <f t="shared" si="0"/>
        <v>328247</v>
      </c>
      <c r="F9" s="6">
        <f t="shared" si="1"/>
        <v>164123.5</v>
      </c>
      <c r="G9" s="6">
        <f t="shared" si="2"/>
        <v>164123.5</v>
      </c>
    </row>
    <row r="10" spans="1:7" x14ac:dyDescent="0.35">
      <c r="A10" t="s">
        <v>34</v>
      </c>
      <c r="B10" s="6">
        <v>51804</v>
      </c>
      <c r="C10" s="6">
        <v>804021</v>
      </c>
      <c r="D10" s="6">
        <v>0</v>
      </c>
      <c r="E10" s="6">
        <f t="shared" si="0"/>
        <v>855825</v>
      </c>
      <c r="F10" s="6">
        <f t="shared" si="1"/>
        <v>427912.5</v>
      </c>
      <c r="G10" s="6">
        <f t="shared" si="2"/>
        <v>427912.5</v>
      </c>
    </row>
    <row r="11" spans="1:7" x14ac:dyDescent="0.35">
      <c r="A11" t="s">
        <v>35</v>
      </c>
      <c r="B11" s="6">
        <v>29437</v>
      </c>
      <c r="C11" s="6">
        <v>853400</v>
      </c>
      <c r="D11" s="6">
        <v>0</v>
      </c>
      <c r="E11" s="6">
        <f t="shared" si="0"/>
        <v>882837</v>
      </c>
      <c r="F11" s="6">
        <f t="shared" si="1"/>
        <v>441418.5</v>
      </c>
      <c r="G11" s="6">
        <f t="shared" si="2"/>
        <v>441418.5</v>
      </c>
    </row>
    <row r="12" spans="1:7" x14ac:dyDescent="0.35">
      <c r="A12" t="s">
        <v>36</v>
      </c>
      <c r="B12" s="6">
        <v>61831</v>
      </c>
      <c r="C12" s="6">
        <v>913120</v>
      </c>
      <c r="D12" s="6">
        <v>321341</v>
      </c>
      <c r="E12" s="6">
        <f t="shared" si="0"/>
        <v>1296292</v>
      </c>
      <c r="F12" s="6">
        <f t="shared" si="1"/>
        <v>648146</v>
      </c>
      <c r="G12" s="6">
        <f t="shared" si="2"/>
        <v>648146</v>
      </c>
    </row>
    <row r="13" spans="1:7" x14ac:dyDescent="0.35">
      <c r="A13" t="s">
        <v>37</v>
      </c>
      <c r="B13" s="6">
        <v>0</v>
      </c>
      <c r="C13" s="6">
        <v>303906</v>
      </c>
      <c r="D13" s="6">
        <v>11366</v>
      </c>
      <c r="E13" s="6">
        <f t="shared" si="0"/>
        <v>315272</v>
      </c>
      <c r="F13" s="6">
        <f t="shared" si="1"/>
        <v>157636</v>
      </c>
      <c r="G13" s="6">
        <f t="shared" si="2"/>
        <v>157636</v>
      </c>
    </row>
    <row r="14" spans="1:7" x14ac:dyDescent="0.35">
      <c r="A14" t="s">
        <v>38</v>
      </c>
      <c r="B14" s="6">
        <v>0</v>
      </c>
      <c r="C14" s="6">
        <v>59813</v>
      </c>
      <c r="D14" s="6">
        <v>107314</v>
      </c>
      <c r="E14" s="6">
        <f t="shared" si="0"/>
        <v>167127</v>
      </c>
      <c r="F14" s="6">
        <f t="shared" si="1"/>
        <v>83563.5</v>
      </c>
      <c r="G14" s="6">
        <f t="shared" si="2"/>
        <v>83563.5</v>
      </c>
    </row>
    <row r="15" spans="1:7" x14ac:dyDescent="0.35">
      <c r="A15" t="s">
        <v>39</v>
      </c>
      <c r="B15" s="6">
        <v>0</v>
      </c>
      <c r="C15" s="6">
        <v>28800</v>
      </c>
      <c r="D15" s="6">
        <v>0</v>
      </c>
      <c r="E15" s="6">
        <f t="shared" si="0"/>
        <v>28800</v>
      </c>
      <c r="F15" s="6">
        <f t="shared" si="1"/>
        <v>14400</v>
      </c>
      <c r="G15" s="6">
        <f t="shared" si="2"/>
        <v>14400</v>
      </c>
    </row>
    <row r="16" spans="1:7" x14ac:dyDescent="0.35">
      <c r="A16" t="s">
        <v>40</v>
      </c>
      <c r="B16" s="6">
        <v>0</v>
      </c>
      <c r="C16" s="6">
        <v>0</v>
      </c>
      <c r="D16" s="6">
        <v>7696</v>
      </c>
      <c r="E16" s="6">
        <f t="shared" si="0"/>
        <v>7696</v>
      </c>
      <c r="F16" s="6">
        <f t="shared" si="1"/>
        <v>3848</v>
      </c>
      <c r="G16" s="6">
        <f t="shared" si="2"/>
        <v>3848</v>
      </c>
    </row>
    <row r="17" spans="1:7" x14ac:dyDescent="0.35">
      <c r="A17" t="s">
        <v>41</v>
      </c>
      <c r="B17" s="6">
        <v>0</v>
      </c>
      <c r="C17" s="6">
        <v>0</v>
      </c>
      <c r="D17" s="6">
        <v>31689</v>
      </c>
      <c r="E17" s="6">
        <f t="shared" si="0"/>
        <v>31689</v>
      </c>
      <c r="F17" s="6">
        <f t="shared" si="1"/>
        <v>15844.5</v>
      </c>
      <c r="G17" s="6">
        <f t="shared" si="2"/>
        <v>15844.5</v>
      </c>
    </row>
    <row r="18" spans="1:7" x14ac:dyDescent="0.35">
      <c r="A18" t="s">
        <v>42</v>
      </c>
      <c r="B18" s="6">
        <v>0</v>
      </c>
      <c r="C18" s="6">
        <v>0</v>
      </c>
      <c r="D18" s="6">
        <v>5838</v>
      </c>
      <c r="E18" s="6">
        <f t="shared" si="0"/>
        <v>5838</v>
      </c>
      <c r="F18" s="6">
        <f t="shared" si="1"/>
        <v>2919</v>
      </c>
      <c r="G18" s="6">
        <f t="shared" si="2"/>
        <v>2919</v>
      </c>
    </row>
    <row r="19" spans="1:7" x14ac:dyDescent="0.35">
      <c r="A19" t="s">
        <v>43</v>
      </c>
      <c r="B19" s="6">
        <v>0</v>
      </c>
      <c r="C19" s="6">
        <v>0</v>
      </c>
      <c r="D19" s="6">
        <v>12480</v>
      </c>
      <c r="E19" s="6">
        <f t="shared" si="0"/>
        <v>12480</v>
      </c>
      <c r="F19" s="6">
        <f t="shared" si="1"/>
        <v>6240</v>
      </c>
      <c r="G19" s="6">
        <f t="shared" si="2"/>
        <v>6240</v>
      </c>
    </row>
    <row r="20" spans="1:7" x14ac:dyDescent="0.35">
      <c r="A20" t="s">
        <v>44</v>
      </c>
      <c r="B20" s="6">
        <v>0</v>
      </c>
      <c r="C20" s="6">
        <v>0</v>
      </c>
      <c r="D20" s="6">
        <v>0</v>
      </c>
      <c r="E20" s="6">
        <f t="shared" si="0"/>
        <v>0</v>
      </c>
      <c r="F20" s="6">
        <f t="shared" si="1"/>
        <v>0</v>
      </c>
      <c r="G20" s="6">
        <f t="shared" si="2"/>
        <v>0</v>
      </c>
    </row>
    <row r="21" spans="1:7" x14ac:dyDescent="0.35">
      <c r="A21" t="s">
        <v>45</v>
      </c>
      <c r="B21" s="6">
        <v>0</v>
      </c>
      <c r="C21" s="6">
        <v>0</v>
      </c>
      <c r="D21" s="6">
        <v>0</v>
      </c>
      <c r="E21" s="6">
        <f t="shared" si="0"/>
        <v>0</v>
      </c>
      <c r="F21" s="6">
        <f t="shared" si="1"/>
        <v>0</v>
      </c>
      <c r="G21" s="6">
        <f t="shared" si="2"/>
        <v>0</v>
      </c>
    </row>
    <row r="22" spans="1:7" x14ac:dyDescent="0.35">
      <c r="A22" t="s">
        <v>46</v>
      </c>
      <c r="B22" s="6">
        <v>0</v>
      </c>
      <c r="C22" s="6">
        <v>0</v>
      </c>
      <c r="D22" s="6">
        <v>0</v>
      </c>
      <c r="E22" s="6">
        <f t="shared" si="0"/>
        <v>0</v>
      </c>
      <c r="F22" s="6">
        <f t="shared" si="1"/>
        <v>0</v>
      </c>
      <c r="G22" s="6">
        <f t="shared" si="2"/>
        <v>0</v>
      </c>
    </row>
    <row r="23" spans="1:7" x14ac:dyDescent="0.35">
      <c r="A23" t="s">
        <v>47</v>
      </c>
      <c r="B23" s="6">
        <v>0</v>
      </c>
      <c r="C23" s="6">
        <v>0</v>
      </c>
      <c r="D23" s="6">
        <v>0</v>
      </c>
      <c r="E23" s="6">
        <f t="shared" si="0"/>
        <v>0</v>
      </c>
      <c r="F23" s="6">
        <f t="shared" si="1"/>
        <v>0</v>
      </c>
      <c r="G23" s="6">
        <f t="shared" si="2"/>
        <v>0</v>
      </c>
    </row>
    <row r="24" spans="1:7" x14ac:dyDescent="0.35">
      <c r="A24" s="4" t="s">
        <v>25</v>
      </c>
      <c r="B24" s="9">
        <f t="shared" ref="B24:G24" si="3">SUM(B4:B23)</f>
        <v>782017</v>
      </c>
      <c r="C24" s="9">
        <f t="shared" si="3"/>
        <v>5280238</v>
      </c>
      <c r="D24" s="9">
        <f t="shared" si="3"/>
        <v>497724</v>
      </c>
      <c r="E24" s="9">
        <f t="shared" si="3"/>
        <v>6559979</v>
      </c>
      <c r="F24" s="9">
        <f t="shared" si="3"/>
        <v>3279989.5</v>
      </c>
      <c r="G24" s="9">
        <f t="shared" si="3"/>
        <v>3279989.5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3"/>
  <sheetViews>
    <sheetView zoomScale="80" zoomScaleNormal="8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27" sqref="A27"/>
    </sheetView>
  </sheetViews>
  <sheetFormatPr baseColWidth="10" defaultColWidth="8.7265625" defaultRowHeight="14.5" x14ac:dyDescent="0.35"/>
  <cols>
    <col min="1" max="2" width="22.7265625" customWidth="1"/>
    <col min="3" max="8" width="10.7265625" customWidth="1"/>
    <col min="9" max="9" width="28.7265625" customWidth="1"/>
  </cols>
  <sheetData>
    <row r="1" spans="1:9" ht="15.5" x14ac:dyDescent="0.35">
      <c r="A1" s="3" t="s">
        <v>48</v>
      </c>
    </row>
    <row r="3" spans="1:9" x14ac:dyDescent="0.35">
      <c r="A3" s="1" t="s">
        <v>21</v>
      </c>
      <c r="B3" s="1" t="s">
        <v>49</v>
      </c>
      <c r="C3" s="1" t="s">
        <v>2</v>
      </c>
      <c r="D3" s="1" t="s">
        <v>9</v>
      </c>
      <c r="E3" s="1" t="s">
        <v>11</v>
      </c>
      <c r="F3" s="1" t="s">
        <v>13</v>
      </c>
      <c r="G3" s="1" t="s">
        <v>15</v>
      </c>
      <c r="H3" s="1" t="s">
        <v>17</v>
      </c>
      <c r="I3" s="1" t="s">
        <v>50</v>
      </c>
    </row>
    <row r="4" spans="1:9" x14ac:dyDescent="0.35">
      <c r="A4" t="s">
        <v>28</v>
      </c>
      <c r="B4" t="s">
        <v>22</v>
      </c>
      <c r="C4" s="5">
        <v>1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t="str">
        <f t="shared" ref="I4:I35" si="0">A4&amp;"|"&amp;B4</f>
        <v>Semilla|Almácigo</v>
      </c>
    </row>
    <row r="5" spans="1:9" x14ac:dyDescent="0.35">
      <c r="A5" t="s">
        <v>28</v>
      </c>
      <c r="B5" t="s">
        <v>23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t="str">
        <f t="shared" si="0"/>
        <v>Semilla|Campo definitivo</v>
      </c>
    </row>
    <row r="6" spans="1:9" x14ac:dyDescent="0.35">
      <c r="A6" t="s">
        <v>28</v>
      </c>
      <c r="B6" t="s">
        <v>24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t="str">
        <f t="shared" si="0"/>
        <v>Semilla|Packing</v>
      </c>
    </row>
    <row r="7" spans="1:9" x14ac:dyDescent="0.35">
      <c r="A7" t="s">
        <v>29</v>
      </c>
      <c r="B7" t="s">
        <v>22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t="str">
        <f t="shared" si="0"/>
        <v>Alquiler de campo|Almácigo</v>
      </c>
    </row>
    <row r="8" spans="1:9" x14ac:dyDescent="0.35">
      <c r="A8" t="s">
        <v>29</v>
      </c>
      <c r="B8" t="s">
        <v>23</v>
      </c>
      <c r="C8" s="5">
        <v>0.16666666666666671</v>
      </c>
      <c r="D8" s="5">
        <v>0.16666666666666671</v>
      </c>
      <c r="E8" s="5">
        <v>0.16666666666666671</v>
      </c>
      <c r="F8" s="5">
        <v>0.16666666666666671</v>
      </c>
      <c r="G8" s="5">
        <v>0.16666666666666671</v>
      </c>
      <c r="H8" s="5">
        <v>0.16666666666666671</v>
      </c>
      <c r="I8" t="str">
        <f t="shared" si="0"/>
        <v>Alquiler de campo|Campo definitivo</v>
      </c>
    </row>
    <row r="9" spans="1:9" x14ac:dyDescent="0.35">
      <c r="A9" t="s">
        <v>29</v>
      </c>
      <c r="B9" t="s">
        <v>24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t="str">
        <f t="shared" si="0"/>
        <v>Alquiler de campo|Packing</v>
      </c>
    </row>
    <row r="10" spans="1:9" x14ac:dyDescent="0.35">
      <c r="A10" t="s">
        <v>30</v>
      </c>
      <c r="B10" t="s">
        <v>22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t="str">
        <f t="shared" si="0"/>
        <v>Accesorios de riego|Almácigo</v>
      </c>
    </row>
    <row r="11" spans="1:9" x14ac:dyDescent="0.35">
      <c r="A11" t="s">
        <v>30</v>
      </c>
      <c r="B11" t="s">
        <v>23</v>
      </c>
      <c r="C11" s="5">
        <v>0.16666666666666671</v>
      </c>
      <c r="D11" s="5">
        <v>0.16666666666666671</v>
      </c>
      <c r="E11" s="5">
        <v>0.16666666666666671</v>
      </c>
      <c r="F11" s="5">
        <v>0.16666666666666671</v>
      </c>
      <c r="G11" s="5">
        <v>0.16666666666666671</v>
      </c>
      <c r="H11" s="5">
        <v>0.16666666666666671</v>
      </c>
      <c r="I11" t="str">
        <f t="shared" si="0"/>
        <v>Accesorios de riego|Campo definitivo</v>
      </c>
    </row>
    <row r="12" spans="1:9" x14ac:dyDescent="0.35">
      <c r="A12" t="s">
        <v>30</v>
      </c>
      <c r="B12" t="s">
        <v>24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t="str">
        <f t="shared" si="0"/>
        <v>Accesorios de riego|Packing</v>
      </c>
    </row>
    <row r="13" spans="1:9" x14ac:dyDescent="0.35">
      <c r="A13" t="s">
        <v>31</v>
      </c>
      <c r="B13" t="s">
        <v>22</v>
      </c>
      <c r="C13" s="5">
        <v>0.16666666666666671</v>
      </c>
      <c r="D13" s="5">
        <v>0.16666666666666671</v>
      </c>
      <c r="E13" s="5">
        <v>0.16666666666666671</v>
      </c>
      <c r="F13" s="5">
        <v>0.16666666666666671</v>
      </c>
      <c r="G13" s="5">
        <v>0.16666666666666671</v>
      </c>
      <c r="H13" s="5">
        <v>0.16666666666666671</v>
      </c>
      <c r="I13" t="str">
        <f t="shared" si="0"/>
        <v>Materia Orgánica|Almácigo</v>
      </c>
    </row>
    <row r="14" spans="1:9" x14ac:dyDescent="0.35">
      <c r="A14" t="s">
        <v>31</v>
      </c>
      <c r="B14" t="s">
        <v>23</v>
      </c>
      <c r="C14" s="5">
        <v>0.16666666666666671</v>
      </c>
      <c r="D14" s="5">
        <v>0.16666666666666671</v>
      </c>
      <c r="E14" s="5">
        <v>0.16666666666666671</v>
      </c>
      <c r="F14" s="5">
        <v>0.16666666666666671</v>
      </c>
      <c r="G14" s="5">
        <v>0.16666666666666671</v>
      </c>
      <c r="H14" s="5">
        <v>0.16666666666666671</v>
      </c>
      <c r="I14" t="str">
        <f t="shared" si="0"/>
        <v>Materia Orgánica|Campo definitivo</v>
      </c>
    </row>
    <row r="15" spans="1:9" x14ac:dyDescent="0.35">
      <c r="A15" t="s">
        <v>31</v>
      </c>
      <c r="B15" t="s">
        <v>24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t="str">
        <f t="shared" si="0"/>
        <v>Materia Orgánica|Packing</v>
      </c>
    </row>
    <row r="16" spans="1:9" x14ac:dyDescent="0.35">
      <c r="A16" t="s">
        <v>32</v>
      </c>
      <c r="B16" t="s">
        <v>22</v>
      </c>
      <c r="C16" s="5">
        <v>0.16666666666666671</v>
      </c>
      <c r="D16" s="5">
        <v>0.16666666666666671</v>
      </c>
      <c r="E16" s="5">
        <v>0.16666666666666671</v>
      </c>
      <c r="F16" s="5">
        <v>0.16666666666666671</v>
      </c>
      <c r="G16" s="5">
        <v>0.16666666666666671</v>
      </c>
      <c r="H16" s="5">
        <v>0.16666666666666671</v>
      </c>
      <c r="I16" t="str">
        <f t="shared" si="0"/>
        <v>Agua|Almácigo</v>
      </c>
    </row>
    <row r="17" spans="1:9" x14ac:dyDescent="0.35">
      <c r="A17" t="s">
        <v>32</v>
      </c>
      <c r="B17" t="s">
        <v>23</v>
      </c>
      <c r="C17" s="5">
        <v>0.18</v>
      </c>
      <c r="D17" s="5">
        <v>0.18</v>
      </c>
      <c r="E17" s="5">
        <v>0.18</v>
      </c>
      <c r="F17" s="5">
        <v>0.18</v>
      </c>
      <c r="G17" s="5">
        <v>0.18</v>
      </c>
      <c r="H17" s="5">
        <v>0.1</v>
      </c>
      <c r="I17" t="str">
        <f t="shared" si="0"/>
        <v>Agua|Campo definitivo</v>
      </c>
    </row>
    <row r="18" spans="1:9" x14ac:dyDescent="0.35">
      <c r="A18" t="s">
        <v>32</v>
      </c>
      <c r="B18" t="s">
        <v>24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t="str">
        <f t="shared" si="0"/>
        <v>Agua|Packing</v>
      </c>
    </row>
    <row r="19" spans="1:9" x14ac:dyDescent="0.35">
      <c r="A19" t="s">
        <v>33</v>
      </c>
      <c r="B19" t="s">
        <v>22</v>
      </c>
      <c r="C19" s="5">
        <v>0.16666666666666671</v>
      </c>
      <c r="D19" s="5">
        <v>0.16666666666666671</v>
      </c>
      <c r="E19" s="5">
        <v>0.16666666666666671</v>
      </c>
      <c r="F19" s="5">
        <v>0.16666666666666671</v>
      </c>
      <c r="G19" s="5">
        <v>0.16666666666666671</v>
      </c>
      <c r="H19" s="5">
        <v>0.16666666666666671</v>
      </c>
      <c r="I19" t="str">
        <f t="shared" si="0"/>
        <v>Alquiler de Maquinaria|Almácigo</v>
      </c>
    </row>
    <row r="20" spans="1:9" x14ac:dyDescent="0.35">
      <c r="A20" t="s">
        <v>33</v>
      </c>
      <c r="B20" t="s">
        <v>23</v>
      </c>
      <c r="C20" s="5">
        <v>0.16666666666666671</v>
      </c>
      <c r="D20" s="5">
        <v>0.16666666666666671</v>
      </c>
      <c r="E20" s="5">
        <v>0.16666666666666671</v>
      </c>
      <c r="F20" s="5">
        <v>0.16666666666666671</v>
      </c>
      <c r="G20" s="5">
        <v>0.16666666666666671</v>
      </c>
      <c r="H20" s="5">
        <v>0.16666666666666671</v>
      </c>
      <c r="I20" t="str">
        <f t="shared" si="0"/>
        <v>Alquiler de Maquinaria|Campo definitivo</v>
      </c>
    </row>
    <row r="21" spans="1:9" x14ac:dyDescent="0.35">
      <c r="A21" t="s">
        <v>33</v>
      </c>
      <c r="B21" t="s">
        <v>24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t="str">
        <f t="shared" si="0"/>
        <v>Alquiler de Maquinaria|Packing</v>
      </c>
    </row>
    <row r="22" spans="1:9" x14ac:dyDescent="0.35">
      <c r="A22" t="s">
        <v>34</v>
      </c>
      <c r="B22" t="s">
        <v>22</v>
      </c>
      <c r="C22" s="5">
        <v>0.16666666666666671</v>
      </c>
      <c r="D22" s="5">
        <v>0.16666666666666671</v>
      </c>
      <c r="E22" s="5">
        <v>0.16666666666666671</v>
      </c>
      <c r="F22" s="5">
        <v>0.16666666666666671</v>
      </c>
      <c r="G22" s="5">
        <v>0.16666666666666671</v>
      </c>
      <c r="H22" s="5">
        <v>0.16666666666666671</v>
      </c>
      <c r="I22" t="str">
        <f t="shared" si="0"/>
        <v>Fertilizantes / Abono Organico|Almácigo</v>
      </c>
    </row>
    <row r="23" spans="1:9" x14ac:dyDescent="0.35">
      <c r="A23" t="s">
        <v>34</v>
      </c>
      <c r="B23" t="s">
        <v>23</v>
      </c>
      <c r="C23" s="5">
        <v>0</v>
      </c>
      <c r="D23" s="5">
        <v>0.2</v>
      </c>
      <c r="E23" s="5">
        <v>0.4</v>
      </c>
      <c r="F23" s="5">
        <v>0.4</v>
      </c>
      <c r="G23" s="5">
        <v>0</v>
      </c>
      <c r="H23" s="5">
        <v>0</v>
      </c>
      <c r="I23" t="str">
        <f t="shared" si="0"/>
        <v>Fertilizantes / Abono Organico|Campo definitivo</v>
      </c>
    </row>
    <row r="24" spans="1:9" x14ac:dyDescent="0.35">
      <c r="A24" t="s">
        <v>34</v>
      </c>
      <c r="B24" t="s">
        <v>24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t="str">
        <f t="shared" si="0"/>
        <v>Fertilizantes / Abono Organico|Packing</v>
      </c>
    </row>
    <row r="25" spans="1:9" x14ac:dyDescent="0.35">
      <c r="A25" t="s">
        <v>35</v>
      </c>
      <c r="B25" t="s">
        <v>22</v>
      </c>
      <c r="C25" s="5">
        <v>0.16666666666666671</v>
      </c>
      <c r="D25" s="5">
        <v>0.16666666666666671</v>
      </c>
      <c r="E25" s="5">
        <v>0.16666666666666671</v>
      </c>
      <c r="F25" s="5">
        <v>0.16666666666666671</v>
      </c>
      <c r="G25" s="5">
        <v>0.16666666666666671</v>
      </c>
      <c r="H25" s="5">
        <v>0.16666666666666671</v>
      </c>
      <c r="I25" t="str">
        <f t="shared" si="0"/>
        <v>Agroquimicos / Foliares|Almácigo</v>
      </c>
    </row>
    <row r="26" spans="1:9" x14ac:dyDescent="0.35">
      <c r="A26" t="s">
        <v>35</v>
      </c>
      <c r="B26" t="s">
        <v>23</v>
      </c>
      <c r="C26" s="5">
        <v>0</v>
      </c>
      <c r="D26" s="5">
        <v>0.1</v>
      </c>
      <c r="E26" s="5">
        <v>0.4</v>
      </c>
      <c r="F26" s="5">
        <v>0.5</v>
      </c>
      <c r="G26" s="5">
        <v>0</v>
      </c>
      <c r="H26" s="5">
        <v>0</v>
      </c>
      <c r="I26" t="str">
        <f t="shared" si="0"/>
        <v>Agroquimicos / Foliares|Campo definitivo</v>
      </c>
    </row>
    <row r="27" spans="1:9" x14ac:dyDescent="0.35">
      <c r="A27" t="s">
        <v>35</v>
      </c>
      <c r="B27" t="s">
        <v>24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t="str">
        <f t="shared" si="0"/>
        <v>Agroquimicos / Foliares|Packing</v>
      </c>
    </row>
    <row r="28" spans="1:9" x14ac:dyDescent="0.35">
      <c r="A28" t="s">
        <v>36</v>
      </c>
      <c r="B28" t="s">
        <v>22</v>
      </c>
      <c r="C28" s="5">
        <v>0.16666666666666671</v>
      </c>
      <c r="D28" s="5">
        <v>0.16666666666666671</v>
      </c>
      <c r="E28" s="5">
        <v>0.16666666666666671</v>
      </c>
      <c r="F28" s="5">
        <v>0.16666666666666671</v>
      </c>
      <c r="G28" s="5">
        <v>0.16666666666666671</v>
      </c>
      <c r="H28" s="5">
        <v>0.16666666666666671</v>
      </c>
      <c r="I28" t="str">
        <f t="shared" si="0"/>
        <v>Personal Eventual s/ contrato|Almácigo</v>
      </c>
    </row>
    <row r="29" spans="1:9" x14ac:dyDescent="0.35">
      <c r="A29" t="s">
        <v>36</v>
      </c>
      <c r="B29" t="s">
        <v>23</v>
      </c>
      <c r="C29" s="5">
        <v>0.1</v>
      </c>
      <c r="D29" s="5">
        <v>0.12</v>
      </c>
      <c r="E29" s="5">
        <v>0.14000000000000001</v>
      </c>
      <c r="F29" s="5">
        <v>0.16</v>
      </c>
      <c r="G29" s="5">
        <v>0.24</v>
      </c>
      <c r="H29" s="5">
        <v>0.24</v>
      </c>
      <c r="I29" t="str">
        <f t="shared" si="0"/>
        <v>Personal Eventual s/ contrato|Campo definitivo</v>
      </c>
    </row>
    <row r="30" spans="1:9" x14ac:dyDescent="0.35">
      <c r="A30" t="s">
        <v>36</v>
      </c>
      <c r="B30" t="s">
        <v>24</v>
      </c>
      <c r="C30" s="5">
        <v>0.16666666666666671</v>
      </c>
      <c r="D30" s="5">
        <v>0.16666666666666671</v>
      </c>
      <c r="E30" s="5">
        <v>0.16666666666666671</v>
      </c>
      <c r="F30" s="5">
        <v>0.16666666666666671</v>
      </c>
      <c r="G30" s="5">
        <v>0.16666666666666671</v>
      </c>
      <c r="H30" s="5">
        <v>0.16666666666666671</v>
      </c>
      <c r="I30" t="str">
        <f t="shared" si="0"/>
        <v>Personal Eventual s/ contrato|Packing</v>
      </c>
    </row>
    <row r="31" spans="1:9" x14ac:dyDescent="0.35">
      <c r="A31" t="s">
        <v>37</v>
      </c>
      <c r="B31" t="s">
        <v>22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t="str">
        <f t="shared" si="0"/>
        <v>Transport costs|Almácigo</v>
      </c>
    </row>
    <row r="32" spans="1:9" x14ac:dyDescent="0.35">
      <c r="A32" t="s">
        <v>37</v>
      </c>
      <c r="B32" t="s">
        <v>23</v>
      </c>
      <c r="C32" s="5">
        <v>0.16666666666666671</v>
      </c>
      <c r="D32" s="5">
        <v>0.16666666666666671</v>
      </c>
      <c r="E32" s="5">
        <v>0.16666666666666671</v>
      </c>
      <c r="F32" s="5">
        <v>0.16666666666666671</v>
      </c>
      <c r="G32" s="5">
        <v>0.16666666666666671</v>
      </c>
      <c r="H32" s="5">
        <v>0.16666666666666671</v>
      </c>
      <c r="I32" t="str">
        <f t="shared" si="0"/>
        <v>Transport costs|Campo definitivo</v>
      </c>
    </row>
    <row r="33" spans="1:9" x14ac:dyDescent="0.35">
      <c r="A33" t="s">
        <v>37</v>
      </c>
      <c r="B33" t="s">
        <v>24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1</v>
      </c>
      <c r="I33" t="str">
        <f t="shared" si="0"/>
        <v>Transport costs|Packing</v>
      </c>
    </row>
    <row r="34" spans="1:9" x14ac:dyDescent="0.35">
      <c r="A34" t="s">
        <v>38</v>
      </c>
      <c r="B34" t="s">
        <v>22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t="str">
        <f t="shared" si="0"/>
        <v>Arpillas Campo|Almácigo</v>
      </c>
    </row>
    <row r="35" spans="1:9" x14ac:dyDescent="0.35">
      <c r="A35" t="s">
        <v>38</v>
      </c>
      <c r="B35" t="s">
        <v>23</v>
      </c>
      <c r="C35" s="5">
        <v>0.16666666666666671</v>
      </c>
      <c r="D35" s="5">
        <v>0.16666666666666671</v>
      </c>
      <c r="E35" s="5">
        <v>0.16666666666666671</v>
      </c>
      <c r="F35" s="5">
        <v>0.16666666666666671</v>
      </c>
      <c r="G35" s="5">
        <v>0.16666666666666671</v>
      </c>
      <c r="H35" s="5">
        <v>0.16666666666666671</v>
      </c>
      <c r="I35" t="str">
        <f t="shared" si="0"/>
        <v>Arpillas Campo|Campo definitivo</v>
      </c>
    </row>
    <row r="36" spans="1:9" x14ac:dyDescent="0.35">
      <c r="A36" t="s">
        <v>38</v>
      </c>
      <c r="B36" t="s">
        <v>24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1</v>
      </c>
      <c r="I36" t="str">
        <f t="shared" ref="I36:I63" si="1">A36&amp;"|"&amp;B36</f>
        <v>Arpillas Campo|Packing</v>
      </c>
    </row>
    <row r="37" spans="1:9" x14ac:dyDescent="0.35">
      <c r="A37" t="s">
        <v>39</v>
      </c>
      <c r="B37" t="s">
        <v>22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t="str">
        <f t="shared" si="1"/>
        <v>Servicio de terceros|Almácigo</v>
      </c>
    </row>
    <row r="38" spans="1:9" x14ac:dyDescent="0.35">
      <c r="A38" t="s">
        <v>39</v>
      </c>
      <c r="B38" t="s">
        <v>23</v>
      </c>
      <c r="C38" s="5">
        <v>0.16666666666666671</v>
      </c>
      <c r="D38" s="5">
        <v>0.16666666666666671</v>
      </c>
      <c r="E38" s="5">
        <v>0.16666666666666671</v>
      </c>
      <c r="F38" s="5">
        <v>0.16666666666666671</v>
      </c>
      <c r="G38" s="5">
        <v>0.16666666666666671</v>
      </c>
      <c r="H38" s="5">
        <v>0.16666666666666671</v>
      </c>
      <c r="I38" t="str">
        <f t="shared" si="1"/>
        <v>Servicio de terceros|Campo definitivo</v>
      </c>
    </row>
    <row r="39" spans="1:9" x14ac:dyDescent="0.35">
      <c r="A39" t="s">
        <v>39</v>
      </c>
      <c r="B39" t="s">
        <v>24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t="str">
        <f t="shared" si="1"/>
        <v>Servicio de terceros|Packing</v>
      </c>
    </row>
    <row r="40" spans="1:9" x14ac:dyDescent="0.35">
      <c r="A40" t="s">
        <v>40</v>
      </c>
      <c r="B40" t="s">
        <v>22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t="str">
        <f t="shared" si="1"/>
        <v>Certificación HACCP/SENASA|Almácigo</v>
      </c>
    </row>
    <row r="41" spans="1:9" x14ac:dyDescent="0.35">
      <c r="A41" t="s">
        <v>40</v>
      </c>
      <c r="B41" t="s">
        <v>23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t="str">
        <f t="shared" si="1"/>
        <v>Certificación HACCP/SENASA|Campo definitivo</v>
      </c>
    </row>
    <row r="42" spans="1:9" x14ac:dyDescent="0.35">
      <c r="A42" t="s">
        <v>40</v>
      </c>
      <c r="B42" t="s">
        <v>24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1</v>
      </c>
      <c r="I42" t="str">
        <f t="shared" si="1"/>
        <v>Certificación HACCP/SENASA|Packing</v>
      </c>
    </row>
    <row r="43" spans="1:9" x14ac:dyDescent="0.35">
      <c r="A43" t="s">
        <v>41</v>
      </c>
      <c r="B43" t="s">
        <v>22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t="str">
        <f t="shared" si="1"/>
        <v>Estiba por contenedor|Almácigo</v>
      </c>
    </row>
    <row r="44" spans="1:9" x14ac:dyDescent="0.35">
      <c r="A44" t="s">
        <v>41</v>
      </c>
      <c r="B44" t="s">
        <v>23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t="str">
        <f t="shared" si="1"/>
        <v>Estiba por contenedor|Campo definitivo</v>
      </c>
    </row>
    <row r="45" spans="1:9" x14ac:dyDescent="0.35">
      <c r="A45" t="s">
        <v>41</v>
      </c>
      <c r="B45" t="s">
        <v>24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1</v>
      </c>
      <c r="I45" t="str">
        <f t="shared" si="1"/>
        <v>Estiba por contenedor|Packing</v>
      </c>
    </row>
    <row r="46" spans="1:9" x14ac:dyDescent="0.35">
      <c r="A46" t="s">
        <v>42</v>
      </c>
      <c r="B46" t="s">
        <v>22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t="str">
        <f t="shared" si="1"/>
        <v>Gas Montacargas|Almácigo</v>
      </c>
    </row>
    <row r="47" spans="1:9" x14ac:dyDescent="0.35">
      <c r="A47" t="s">
        <v>42</v>
      </c>
      <c r="B47" t="s">
        <v>23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t="str">
        <f t="shared" si="1"/>
        <v>Gas Montacargas|Campo definitivo</v>
      </c>
    </row>
    <row r="48" spans="1:9" x14ac:dyDescent="0.35">
      <c r="A48" t="s">
        <v>42</v>
      </c>
      <c r="B48" t="s">
        <v>24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1</v>
      </c>
      <c r="I48" t="str">
        <f t="shared" si="1"/>
        <v>Gas Montacargas|Packing</v>
      </c>
    </row>
    <row r="49" spans="1:9" x14ac:dyDescent="0.35">
      <c r="A49" t="s">
        <v>43</v>
      </c>
      <c r="B49" t="s">
        <v>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t="str">
        <f t="shared" si="1"/>
        <v>Energía Packing|Almácigo</v>
      </c>
    </row>
    <row r="50" spans="1:9" x14ac:dyDescent="0.35">
      <c r="A50" t="s">
        <v>43</v>
      </c>
      <c r="B50" t="s">
        <v>23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t="str">
        <f t="shared" si="1"/>
        <v>Energía Packing|Campo definitivo</v>
      </c>
    </row>
    <row r="51" spans="1:9" x14ac:dyDescent="0.35">
      <c r="A51" t="s">
        <v>43</v>
      </c>
      <c r="B51" t="s">
        <v>24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1</v>
      </c>
      <c r="I51" t="str">
        <f t="shared" si="1"/>
        <v>Energía Packing|Packing</v>
      </c>
    </row>
    <row r="52" spans="1:9" x14ac:dyDescent="0.35">
      <c r="A52" t="s">
        <v>44</v>
      </c>
      <c r="B52" t="s">
        <v>22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t="str">
        <f t="shared" si="1"/>
        <v>Depreciaciones|Almácigo</v>
      </c>
    </row>
    <row r="53" spans="1:9" x14ac:dyDescent="0.35">
      <c r="A53" t="s">
        <v>44</v>
      </c>
      <c r="B53" t="s">
        <v>23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t="str">
        <f t="shared" si="1"/>
        <v>Depreciaciones|Campo definitivo</v>
      </c>
    </row>
    <row r="54" spans="1:9" x14ac:dyDescent="0.35">
      <c r="A54" t="s">
        <v>44</v>
      </c>
      <c r="B54" t="s">
        <v>24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t="str">
        <f t="shared" si="1"/>
        <v>Depreciaciones|Packing</v>
      </c>
    </row>
    <row r="55" spans="1:9" x14ac:dyDescent="0.35">
      <c r="A55" t="s">
        <v>45</v>
      </c>
      <c r="B55" t="s">
        <v>22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t="str">
        <f t="shared" si="1"/>
        <v>MANTENIMIENTO Y REPARACION|Almácigo</v>
      </c>
    </row>
    <row r="56" spans="1:9" x14ac:dyDescent="0.35">
      <c r="A56" t="s">
        <v>45</v>
      </c>
      <c r="B56" t="s">
        <v>23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t="str">
        <f t="shared" si="1"/>
        <v>MANTENIMIENTO Y REPARACION|Campo definitivo</v>
      </c>
    </row>
    <row r="57" spans="1:9" x14ac:dyDescent="0.35">
      <c r="A57" t="s">
        <v>45</v>
      </c>
      <c r="B57" t="s">
        <v>24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t="str">
        <f t="shared" si="1"/>
        <v>MANTENIMIENTO Y REPARACION|Packing</v>
      </c>
    </row>
    <row r="58" spans="1:9" x14ac:dyDescent="0.35">
      <c r="A58" t="s">
        <v>46</v>
      </c>
      <c r="B58" t="s">
        <v>22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t="str">
        <f t="shared" si="1"/>
        <v>SUMINISTROS|Almácigo</v>
      </c>
    </row>
    <row r="59" spans="1:9" x14ac:dyDescent="0.35">
      <c r="A59" t="s">
        <v>46</v>
      </c>
      <c r="B59" t="s">
        <v>23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t="str">
        <f t="shared" si="1"/>
        <v>SUMINISTROS|Campo definitivo</v>
      </c>
    </row>
    <row r="60" spans="1:9" x14ac:dyDescent="0.35">
      <c r="A60" t="s">
        <v>46</v>
      </c>
      <c r="B60" t="s">
        <v>24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t="str">
        <f t="shared" si="1"/>
        <v>SUMINISTROS|Packing</v>
      </c>
    </row>
    <row r="61" spans="1:9" x14ac:dyDescent="0.35">
      <c r="A61" t="s">
        <v>47</v>
      </c>
      <c r="B61" t="s">
        <v>22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t="str">
        <f t="shared" si="1"/>
        <v>VARIOS|Almácigo</v>
      </c>
    </row>
    <row r="62" spans="1:9" x14ac:dyDescent="0.35">
      <c r="A62" t="s">
        <v>47</v>
      </c>
      <c r="B62" t="s">
        <v>23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t="str">
        <f t="shared" si="1"/>
        <v>VARIOS|Campo definitivo</v>
      </c>
    </row>
    <row r="63" spans="1:9" x14ac:dyDescent="0.35">
      <c r="A63" t="s">
        <v>47</v>
      </c>
      <c r="B63" t="s">
        <v>24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t="str">
        <f t="shared" si="1"/>
        <v>VARIOS|Packing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3"/>
  <sheetViews>
    <sheetView zoomScale="70" zoomScaleNormal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I27" sqref="I27"/>
    </sheetView>
  </sheetViews>
  <sheetFormatPr baseColWidth="10" defaultColWidth="8.7265625" defaultRowHeight="14.5" x14ac:dyDescent="0.35"/>
  <cols>
    <col min="1" max="2" width="22.7265625" customWidth="1"/>
    <col min="3" max="8" width="10.7265625" customWidth="1"/>
    <col min="9" max="9" width="28.7265625" customWidth="1"/>
  </cols>
  <sheetData>
    <row r="1" spans="1:9" ht="15.5" x14ac:dyDescent="0.35">
      <c r="A1" s="3" t="s">
        <v>51</v>
      </c>
    </row>
    <row r="3" spans="1:9" x14ac:dyDescent="0.35">
      <c r="A3" s="1" t="s">
        <v>21</v>
      </c>
      <c r="B3" s="1" t="s">
        <v>49</v>
      </c>
      <c r="C3" s="1" t="s">
        <v>8</v>
      </c>
      <c r="D3" s="1" t="s">
        <v>10</v>
      </c>
      <c r="E3" s="1" t="s">
        <v>12</v>
      </c>
      <c r="F3" s="1" t="s">
        <v>14</v>
      </c>
      <c r="G3" s="1" t="s">
        <v>16</v>
      </c>
      <c r="H3" s="1" t="s">
        <v>18</v>
      </c>
      <c r="I3" s="1" t="s">
        <v>50</v>
      </c>
    </row>
    <row r="4" spans="1:9" x14ac:dyDescent="0.35">
      <c r="A4" t="s">
        <v>28</v>
      </c>
      <c r="B4" t="s">
        <v>22</v>
      </c>
      <c r="C4" s="5">
        <v>1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t="str">
        <f t="shared" ref="I4:I35" si="0">A4&amp;"|"&amp;B4</f>
        <v>Semilla|Almácigo</v>
      </c>
    </row>
    <row r="5" spans="1:9" x14ac:dyDescent="0.35">
      <c r="A5" t="s">
        <v>28</v>
      </c>
      <c r="B5" t="s">
        <v>23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t="str">
        <f t="shared" si="0"/>
        <v>Semilla|Campo definitivo</v>
      </c>
    </row>
    <row r="6" spans="1:9" x14ac:dyDescent="0.35">
      <c r="A6" t="s">
        <v>28</v>
      </c>
      <c r="B6" t="s">
        <v>24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t="str">
        <f t="shared" si="0"/>
        <v>Semilla|Packing</v>
      </c>
    </row>
    <row r="7" spans="1:9" x14ac:dyDescent="0.35">
      <c r="A7" t="s">
        <v>29</v>
      </c>
      <c r="B7" t="s">
        <v>22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t="str">
        <f t="shared" si="0"/>
        <v>Alquiler de campo|Almácigo</v>
      </c>
    </row>
    <row r="8" spans="1:9" x14ac:dyDescent="0.35">
      <c r="A8" t="s">
        <v>29</v>
      </c>
      <c r="B8" t="s">
        <v>23</v>
      </c>
      <c r="C8" s="5">
        <v>0.16666666666666671</v>
      </c>
      <c r="D8" s="5">
        <v>0.16666666666666671</v>
      </c>
      <c r="E8" s="5">
        <v>0.16666666666666671</v>
      </c>
      <c r="F8" s="5">
        <v>0.16666666666666671</v>
      </c>
      <c r="G8" s="5">
        <v>0.16666666666666671</v>
      </c>
      <c r="H8" s="5">
        <v>0.16666666666666671</v>
      </c>
      <c r="I8" t="str">
        <f t="shared" si="0"/>
        <v>Alquiler de campo|Campo definitivo</v>
      </c>
    </row>
    <row r="9" spans="1:9" x14ac:dyDescent="0.35">
      <c r="A9" t="s">
        <v>29</v>
      </c>
      <c r="B9" t="s">
        <v>24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t="str">
        <f t="shared" si="0"/>
        <v>Alquiler de campo|Packing</v>
      </c>
    </row>
    <row r="10" spans="1:9" x14ac:dyDescent="0.35">
      <c r="A10" t="s">
        <v>30</v>
      </c>
      <c r="B10" t="s">
        <v>22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t="str">
        <f t="shared" si="0"/>
        <v>Accesorios de riego|Almácigo</v>
      </c>
    </row>
    <row r="11" spans="1:9" x14ac:dyDescent="0.35">
      <c r="A11" t="s">
        <v>30</v>
      </c>
      <c r="B11" t="s">
        <v>23</v>
      </c>
      <c r="C11" s="5">
        <v>0.16666666666666671</v>
      </c>
      <c r="D11" s="5">
        <v>0.16666666666666671</v>
      </c>
      <c r="E11" s="5">
        <v>0.16666666666666671</v>
      </c>
      <c r="F11" s="5">
        <v>0.16666666666666671</v>
      </c>
      <c r="G11" s="5">
        <v>0.16666666666666671</v>
      </c>
      <c r="H11" s="5">
        <v>0.16666666666666671</v>
      </c>
      <c r="I11" t="str">
        <f t="shared" si="0"/>
        <v>Accesorios de riego|Campo definitivo</v>
      </c>
    </row>
    <row r="12" spans="1:9" x14ac:dyDescent="0.35">
      <c r="A12" t="s">
        <v>30</v>
      </c>
      <c r="B12" t="s">
        <v>24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t="str">
        <f t="shared" si="0"/>
        <v>Accesorios de riego|Packing</v>
      </c>
    </row>
    <row r="13" spans="1:9" x14ac:dyDescent="0.35">
      <c r="A13" t="s">
        <v>31</v>
      </c>
      <c r="B13" t="s">
        <v>22</v>
      </c>
      <c r="C13" s="5">
        <v>0.16666666666666671</v>
      </c>
      <c r="D13" s="5">
        <v>0.16666666666666671</v>
      </c>
      <c r="E13" s="5">
        <v>0.16666666666666671</v>
      </c>
      <c r="F13" s="5">
        <v>0.16666666666666671</v>
      </c>
      <c r="G13" s="5">
        <v>0.16666666666666671</v>
      </c>
      <c r="H13" s="5">
        <v>0.16666666666666671</v>
      </c>
      <c r="I13" t="str">
        <f t="shared" si="0"/>
        <v>Materia Orgánica|Almácigo</v>
      </c>
    </row>
    <row r="14" spans="1:9" x14ac:dyDescent="0.35">
      <c r="A14" t="s">
        <v>31</v>
      </c>
      <c r="B14" t="s">
        <v>23</v>
      </c>
      <c r="C14" s="5">
        <v>0.16666666666666671</v>
      </c>
      <c r="D14" s="5">
        <v>0.16666666666666671</v>
      </c>
      <c r="E14" s="5">
        <v>0.16666666666666671</v>
      </c>
      <c r="F14" s="5">
        <v>0.16666666666666671</v>
      </c>
      <c r="G14" s="5">
        <v>0.16666666666666671</v>
      </c>
      <c r="H14" s="5">
        <v>0.16666666666666671</v>
      </c>
      <c r="I14" t="str">
        <f t="shared" si="0"/>
        <v>Materia Orgánica|Campo definitivo</v>
      </c>
    </row>
    <row r="15" spans="1:9" x14ac:dyDescent="0.35">
      <c r="A15" t="s">
        <v>31</v>
      </c>
      <c r="B15" t="s">
        <v>24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t="str">
        <f t="shared" si="0"/>
        <v>Materia Orgánica|Packing</v>
      </c>
    </row>
    <row r="16" spans="1:9" x14ac:dyDescent="0.35">
      <c r="A16" t="s">
        <v>32</v>
      </c>
      <c r="B16" t="s">
        <v>22</v>
      </c>
      <c r="C16" s="5">
        <v>0.16666666666666671</v>
      </c>
      <c r="D16" s="5">
        <v>0.16666666666666671</v>
      </c>
      <c r="E16" s="5">
        <v>0.16666666666666671</v>
      </c>
      <c r="F16" s="5">
        <v>0.16666666666666671</v>
      </c>
      <c r="G16" s="5">
        <v>0.16666666666666671</v>
      </c>
      <c r="H16" s="5">
        <v>0.16666666666666671</v>
      </c>
      <c r="I16" t="str">
        <f t="shared" si="0"/>
        <v>Agua|Almácigo</v>
      </c>
    </row>
    <row r="17" spans="1:9" x14ac:dyDescent="0.35">
      <c r="A17" t="s">
        <v>32</v>
      </c>
      <c r="B17" t="s">
        <v>23</v>
      </c>
      <c r="C17" s="5">
        <v>0.18</v>
      </c>
      <c r="D17" s="5">
        <v>0.18</v>
      </c>
      <c r="E17" s="5">
        <v>0.18</v>
      </c>
      <c r="F17" s="5">
        <v>0.18</v>
      </c>
      <c r="G17" s="5">
        <v>0.18</v>
      </c>
      <c r="H17" s="5">
        <v>0.1</v>
      </c>
      <c r="I17" t="str">
        <f t="shared" si="0"/>
        <v>Agua|Campo definitivo</v>
      </c>
    </row>
    <row r="18" spans="1:9" x14ac:dyDescent="0.35">
      <c r="A18" t="s">
        <v>32</v>
      </c>
      <c r="B18" t="s">
        <v>24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t="str">
        <f t="shared" si="0"/>
        <v>Agua|Packing</v>
      </c>
    </row>
    <row r="19" spans="1:9" x14ac:dyDescent="0.35">
      <c r="A19" t="s">
        <v>33</v>
      </c>
      <c r="B19" t="s">
        <v>22</v>
      </c>
      <c r="C19" s="5">
        <v>0.16666666666666671</v>
      </c>
      <c r="D19" s="5">
        <v>0.16666666666666671</v>
      </c>
      <c r="E19" s="5">
        <v>0.16666666666666671</v>
      </c>
      <c r="F19" s="5">
        <v>0.16666666666666671</v>
      </c>
      <c r="G19" s="5">
        <v>0.16666666666666671</v>
      </c>
      <c r="H19" s="5">
        <v>0.16666666666666671</v>
      </c>
      <c r="I19" t="str">
        <f t="shared" si="0"/>
        <v>Alquiler de Maquinaria|Almácigo</v>
      </c>
    </row>
    <row r="20" spans="1:9" x14ac:dyDescent="0.35">
      <c r="A20" t="s">
        <v>33</v>
      </c>
      <c r="B20" t="s">
        <v>23</v>
      </c>
      <c r="C20" s="5">
        <v>0.16666666666666671</v>
      </c>
      <c r="D20" s="5">
        <v>0.16666666666666671</v>
      </c>
      <c r="E20" s="5">
        <v>0.16666666666666671</v>
      </c>
      <c r="F20" s="5">
        <v>0.16666666666666671</v>
      </c>
      <c r="G20" s="5">
        <v>0.16666666666666671</v>
      </c>
      <c r="H20" s="5">
        <v>0.16666666666666671</v>
      </c>
      <c r="I20" t="str">
        <f t="shared" si="0"/>
        <v>Alquiler de Maquinaria|Campo definitivo</v>
      </c>
    </row>
    <row r="21" spans="1:9" x14ac:dyDescent="0.35">
      <c r="A21" t="s">
        <v>33</v>
      </c>
      <c r="B21" t="s">
        <v>24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t="str">
        <f t="shared" si="0"/>
        <v>Alquiler de Maquinaria|Packing</v>
      </c>
    </row>
    <row r="22" spans="1:9" x14ac:dyDescent="0.35">
      <c r="A22" t="s">
        <v>34</v>
      </c>
      <c r="B22" t="s">
        <v>22</v>
      </c>
      <c r="C22" s="5">
        <v>0.16666666666666671</v>
      </c>
      <c r="D22" s="5">
        <v>0.16666666666666671</v>
      </c>
      <c r="E22" s="5">
        <v>0.16666666666666671</v>
      </c>
      <c r="F22" s="5">
        <v>0.16666666666666671</v>
      </c>
      <c r="G22" s="5">
        <v>0.16666666666666671</v>
      </c>
      <c r="H22" s="5">
        <v>0.16666666666666671</v>
      </c>
      <c r="I22" t="str">
        <f t="shared" si="0"/>
        <v>Fertilizantes / Abono Organico|Almácigo</v>
      </c>
    </row>
    <row r="23" spans="1:9" x14ac:dyDescent="0.35">
      <c r="A23" t="s">
        <v>34</v>
      </c>
      <c r="B23" t="s">
        <v>23</v>
      </c>
      <c r="C23" s="5">
        <v>0</v>
      </c>
      <c r="D23" s="5">
        <v>0.2</v>
      </c>
      <c r="E23" s="5">
        <v>0.4</v>
      </c>
      <c r="F23" s="5">
        <v>0.4</v>
      </c>
      <c r="G23" s="5">
        <v>0</v>
      </c>
      <c r="H23" s="5">
        <v>0</v>
      </c>
      <c r="I23" t="str">
        <f t="shared" si="0"/>
        <v>Fertilizantes / Abono Organico|Campo definitivo</v>
      </c>
    </row>
    <row r="24" spans="1:9" x14ac:dyDescent="0.35">
      <c r="A24" t="s">
        <v>34</v>
      </c>
      <c r="B24" t="s">
        <v>24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t="str">
        <f t="shared" si="0"/>
        <v>Fertilizantes / Abono Organico|Packing</v>
      </c>
    </row>
    <row r="25" spans="1:9" x14ac:dyDescent="0.35">
      <c r="A25" t="s">
        <v>35</v>
      </c>
      <c r="B25" t="s">
        <v>22</v>
      </c>
      <c r="C25" s="5">
        <v>0.16666666666666671</v>
      </c>
      <c r="D25" s="5">
        <v>0.16666666666666671</v>
      </c>
      <c r="E25" s="5">
        <v>0.16666666666666671</v>
      </c>
      <c r="F25" s="5">
        <v>0.16666666666666671</v>
      </c>
      <c r="G25" s="5">
        <v>0.16666666666666671</v>
      </c>
      <c r="H25" s="5">
        <v>0.16666666666666671</v>
      </c>
      <c r="I25" t="str">
        <f t="shared" si="0"/>
        <v>Agroquimicos / Foliares|Almácigo</v>
      </c>
    </row>
    <row r="26" spans="1:9" x14ac:dyDescent="0.35">
      <c r="A26" t="s">
        <v>35</v>
      </c>
      <c r="B26" t="s">
        <v>23</v>
      </c>
      <c r="C26" s="5">
        <v>0</v>
      </c>
      <c r="D26" s="5">
        <v>0.1</v>
      </c>
      <c r="E26" s="5">
        <v>0.4</v>
      </c>
      <c r="F26" s="5">
        <v>0.5</v>
      </c>
      <c r="G26" s="5">
        <v>0</v>
      </c>
      <c r="H26" s="5">
        <v>0</v>
      </c>
      <c r="I26" t="str">
        <f t="shared" si="0"/>
        <v>Agroquimicos / Foliares|Campo definitivo</v>
      </c>
    </row>
    <row r="27" spans="1:9" x14ac:dyDescent="0.35">
      <c r="A27" t="s">
        <v>35</v>
      </c>
      <c r="B27" t="s">
        <v>24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t="str">
        <f t="shared" si="0"/>
        <v>Agroquimicos / Foliares|Packing</v>
      </c>
    </row>
    <row r="28" spans="1:9" x14ac:dyDescent="0.35">
      <c r="A28" t="s">
        <v>36</v>
      </c>
      <c r="B28" t="s">
        <v>22</v>
      </c>
      <c r="C28" s="5">
        <v>0.16666666666666671</v>
      </c>
      <c r="D28" s="5">
        <v>0.16666666666666671</v>
      </c>
      <c r="E28" s="5">
        <v>0.16666666666666671</v>
      </c>
      <c r="F28" s="5">
        <v>0.16666666666666671</v>
      </c>
      <c r="G28" s="5">
        <v>0.16666666666666671</v>
      </c>
      <c r="H28" s="5">
        <v>0.16666666666666671</v>
      </c>
      <c r="I28" t="str">
        <f t="shared" si="0"/>
        <v>Personal Eventual s/ contrato|Almácigo</v>
      </c>
    </row>
    <row r="29" spans="1:9" x14ac:dyDescent="0.35">
      <c r="A29" t="s">
        <v>36</v>
      </c>
      <c r="B29" t="s">
        <v>23</v>
      </c>
      <c r="C29" s="5">
        <v>0.1</v>
      </c>
      <c r="D29" s="5">
        <v>0.12</v>
      </c>
      <c r="E29" s="5">
        <v>0.14000000000000001</v>
      </c>
      <c r="F29" s="5">
        <v>0.16</v>
      </c>
      <c r="G29" s="5">
        <v>0.24</v>
      </c>
      <c r="H29" s="5">
        <v>0.24</v>
      </c>
      <c r="I29" t="str">
        <f t="shared" si="0"/>
        <v>Personal Eventual s/ contrato|Campo definitivo</v>
      </c>
    </row>
    <row r="30" spans="1:9" x14ac:dyDescent="0.35">
      <c r="A30" t="s">
        <v>36</v>
      </c>
      <c r="B30" t="s">
        <v>24</v>
      </c>
      <c r="C30" s="5">
        <v>0.16666666666666671</v>
      </c>
      <c r="D30" s="5">
        <v>0.16666666666666671</v>
      </c>
      <c r="E30" s="5">
        <v>0.16666666666666671</v>
      </c>
      <c r="F30" s="5">
        <v>0.16666666666666671</v>
      </c>
      <c r="G30" s="5">
        <v>0.16666666666666671</v>
      </c>
      <c r="H30" s="5">
        <v>0.16666666666666671</v>
      </c>
      <c r="I30" t="str">
        <f t="shared" si="0"/>
        <v>Personal Eventual s/ contrato|Packing</v>
      </c>
    </row>
    <row r="31" spans="1:9" x14ac:dyDescent="0.35">
      <c r="A31" t="s">
        <v>37</v>
      </c>
      <c r="B31" t="s">
        <v>22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t="str">
        <f t="shared" si="0"/>
        <v>Transport costs|Almácigo</v>
      </c>
    </row>
    <row r="32" spans="1:9" x14ac:dyDescent="0.35">
      <c r="A32" t="s">
        <v>37</v>
      </c>
      <c r="B32" t="s">
        <v>23</v>
      </c>
      <c r="C32" s="5">
        <v>0.16666666666666671</v>
      </c>
      <c r="D32" s="5">
        <v>0.16666666666666671</v>
      </c>
      <c r="E32" s="5">
        <v>0.16666666666666671</v>
      </c>
      <c r="F32" s="5">
        <v>0.16666666666666671</v>
      </c>
      <c r="G32" s="5">
        <v>0.16666666666666671</v>
      </c>
      <c r="H32" s="5">
        <v>0.16666666666666671</v>
      </c>
      <c r="I32" t="str">
        <f t="shared" si="0"/>
        <v>Transport costs|Campo definitivo</v>
      </c>
    </row>
    <row r="33" spans="1:9" x14ac:dyDescent="0.35">
      <c r="A33" t="s">
        <v>37</v>
      </c>
      <c r="B33" t="s">
        <v>24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1</v>
      </c>
      <c r="I33" t="str">
        <f t="shared" si="0"/>
        <v>Transport costs|Packing</v>
      </c>
    </row>
    <row r="34" spans="1:9" x14ac:dyDescent="0.35">
      <c r="A34" t="s">
        <v>38</v>
      </c>
      <c r="B34" t="s">
        <v>22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t="str">
        <f t="shared" si="0"/>
        <v>Arpillas Campo|Almácigo</v>
      </c>
    </row>
    <row r="35" spans="1:9" x14ac:dyDescent="0.35">
      <c r="A35" t="s">
        <v>38</v>
      </c>
      <c r="B35" t="s">
        <v>23</v>
      </c>
      <c r="C35" s="5">
        <v>0.16666666666666671</v>
      </c>
      <c r="D35" s="5">
        <v>0.16666666666666671</v>
      </c>
      <c r="E35" s="5">
        <v>0.16666666666666671</v>
      </c>
      <c r="F35" s="5">
        <v>0.16666666666666671</v>
      </c>
      <c r="G35" s="5">
        <v>0.16666666666666671</v>
      </c>
      <c r="H35" s="5">
        <v>0.16666666666666671</v>
      </c>
      <c r="I35" t="str">
        <f t="shared" si="0"/>
        <v>Arpillas Campo|Campo definitivo</v>
      </c>
    </row>
    <row r="36" spans="1:9" x14ac:dyDescent="0.35">
      <c r="A36" t="s">
        <v>38</v>
      </c>
      <c r="B36" t="s">
        <v>24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1</v>
      </c>
      <c r="I36" t="str">
        <f t="shared" ref="I36:I63" si="1">A36&amp;"|"&amp;B36</f>
        <v>Arpillas Campo|Packing</v>
      </c>
    </row>
    <row r="37" spans="1:9" x14ac:dyDescent="0.35">
      <c r="A37" t="s">
        <v>39</v>
      </c>
      <c r="B37" t="s">
        <v>22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t="str">
        <f t="shared" si="1"/>
        <v>Servicio de terceros|Almácigo</v>
      </c>
    </row>
    <row r="38" spans="1:9" x14ac:dyDescent="0.35">
      <c r="A38" t="s">
        <v>39</v>
      </c>
      <c r="B38" t="s">
        <v>23</v>
      </c>
      <c r="C38" s="5">
        <v>0.16666666666666671</v>
      </c>
      <c r="D38" s="5">
        <v>0.16666666666666671</v>
      </c>
      <c r="E38" s="5">
        <v>0.16666666666666671</v>
      </c>
      <c r="F38" s="5">
        <v>0.16666666666666671</v>
      </c>
      <c r="G38" s="5">
        <v>0.16666666666666671</v>
      </c>
      <c r="H38" s="5">
        <v>0.16666666666666671</v>
      </c>
      <c r="I38" t="str">
        <f t="shared" si="1"/>
        <v>Servicio de terceros|Campo definitivo</v>
      </c>
    </row>
    <row r="39" spans="1:9" x14ac:dyDescent="0.35">
      <c r="A39" t="s">
        <v>39</v>
      </c>
      <c r="B39" t="s">
        <v>24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t="str">
        <f t="shared" si="1"/>
        <v>Servicio de terceros|Packing</v>
      </c>
    </row>
    <row r="40" spans="1:9" x14ac:dyDescent="0.35">
      <c r="A40" t="s">
        <v>40</v>
      </c>
      <c r="B40" t="s">
        <v>22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t="str">
        <f t="shared" si="1"/>
        <v>Certificación HACCP/SENASA|Almácigo</v>
      </c>
    </row>
    <row r="41" spans="1:9" x14ac:dyDescent="0.35">
      <c r="A41" t="s">
        <v>40</v>
      </c>
      <c r="B41" t="s">
        <v>23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t="str">
        <f t="shared" si="1"/>
        <v>Certificación HACCP/SENASA|Campo definitivo</v>
      </c>
    </row>
    <row r="42" spans="1:9" x14ac:dyDescent="0.35">
      <c r="A42" t="s">
        <v>40</v>
      </c>
      <c r="B42" t="s">
        <v>24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1</v>
      </c>
      <c r="I42" t="str">
        <f t="shared" si="1"/>
        <v>Certificación HACCP/SENASA|Packing</v>
      </c>
    </row>
    <row r="43" spans="1:9" x14ac:dyDescent="0.35">
      <c r="A43" t="s">
        <v>41</v>
      </c>
      <c r="B43" t="s">
        <v>22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t="str">
        <f t="shared" si="1"/>
        <v>Estiba por contenedor|Almácigo</v>
      </c>
    </row>
    <row r="44" spans="1:9" x14ac:dyDescent="0.35">
      <c r="A44" t="s">
        <v>41</v>
      </c>
      <c r="B44" t="s">
        <v>23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t="str">
        <f t="shared" si="1"/>
        <v>Estiba por contenedor|Campo definitivo</v>
      </c>
    </row>
    <row r="45" spans="1:9" x14ac:dyDescent="0.35">
      <c r="A45" t="s">
        <v>41</v>
      </c>
      <c r="B45" t="s">
        <v>24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1</v>
      </c>
      <c r="I45" t="str">
        <f t="shared" si="1"/>
        <v>Estiba por contenedor|Packing</v>
      </c>
    </row>
    <row r="46" spans="1:9" x14ac:dyDescent="0.35">
      <c r="A46" t="s">
        <v>42</v>
      </c>
      <c r="B46" t="s">
        <v>22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t="str">
        <f t="shared" si="1"/>
        <v>Gas Montacargas|Almácigo</v>
      </c>
    </row>
    <row r="47" spans="1:9" x14ac:dyDescent="0.35">
      <c r="A47" t="s">
        <v>42</v>
      </c>
      <c r="B47" t="s">
        <v>23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t="str">
        <f t="shared" si="1"/>
        <v>Gas Montacargas|Campo definitivo</v>
      </c>
    </row>
    <row r="48" spans="1:9" x14ac:dyDescent="0.35">
      <c r="A48" t="s">
        <v>42</v>
      </c>
      <c r="B48" t="s">
        <v>24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1</v>
      </c>
      <c r="I48" t="str">
        <f t="shared" si="1"/>
        <v>Gas Montacargas|Packing</v>
      </c>
    </row>
    <row r="49" spans="1:9" x14ac:dyDescent="0.35">
      <c r="A49" t="s">
        <v>43</v>
      </c>
      <c r="B49" t="s">
        <v>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t="str">
        <f t="shared" si="1"/>
        <v>Energía Packing|Almácigo</v>
      </c>
    </row>
    <row r="50" spans="1:9" x14ac:dyDescent="0.35">
      <c r="A50" t="s">
        <v>43</v>
      </c>
      <c r="B50" t="s">
        <v>23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t="str">
        <f t="shared" si="1"/>
        <v>Energía Packing|Campo definitivo</v>
      </c>
    </row>
    <row r="51" spans="1:9" x14ac:dyDescent="0.35">
      <c r="A51" t="s">
        <v>43</v>
      </c>
      <c r="B51" t="s">
        <v>24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1</v>
      </c>
      <c r="I51" t="str">
        <f t="shared" si="1"/>
        <v>Energía Packing|Packing</v>
      </c>
    </row>
    <row r="52" spans="1:9" x14ac:dyDescent="0.35">
      <c r="A52" t="s">
        <v>44</v>
      </c>
      <c r="B52" t="s">
        <v>22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t="str">
        <f t="shared" si="1"/>
        <v>Depreciaciones|Almácigo</v>
      </c>
    </row>
    <row r="53" spans="1:9" x14ac:dyDescent="0.35">
      <c r="A53" t="s">
        <v>44</v>
      </c>
      <c r="B53" t="s">
        <v>23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t="str">
        <f t="shared" si="1"/>
        <v>Depreciaciones|Campo definitivo</v>
      </c>
    </row>
    <row r="54" spans="1:9" x14ac:dyDescent="0.35">
      <c r="A54" t="s">
        <v>44</v>
      </c>
      <c r="B54" t="s">
        <v>24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t="str">
        <f t="shared" si="1"/>
        <v>Depreciaciones|Packing</v>
      </c>
    </row>
    <row r="55" spans="1:9" x14ac:dyDescent="0.35">
      <c r="A55" t="s">
        <v>45</v>
      </c>
      <c r="B55" t="s">
        <v>22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t="str">
        <f t="shared" si="1"/>
        <v>MANTENIMIENTO Y REPARACION|Almácigo</v>
      </c>
    </row>
    <row r="56" spans="1:9" x14ac:dyDescent="0.35">
      <c r="A56" t="s">
        <v>45</v>
      </c>
      <c r="B56" t="s">
        <v>23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t="str">
        <f t="shared" si="1"/>
        <v>MANTENIMIENTO Y REPARACION|Campo definitivo</v>
      </c>
    </row>
    <row r="57" spans="1:9" x14ac:dyDescent="0.35">
      <c r="A57" t="s">
        <v>45</v>
      </c>
      <c r="B57" t="s">
        <v>24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t="str">
        <f t="shared" si="1"/>
        <v>MANTENIMIENTO Y REPARACION|Packing</v>
      </c>
    </row>
    <row r="58" spans="1:9" x14ac:dyDescent="0.35">
      <c r="A58" t="s">
        <v>46</v>
      </c>
      <c r="B58" t="s">
        <v>22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t="str">
        <f t="shared" si="1"/>
        <v>SUMINISTROS|Almácigo</v>
      </c>
    </row>
    <row r="59" spans="1:9" x14ac:dyDescent="0.35">
      <c r="A59" t="s">
        <v>46</v>
      </c>
      <c r="B59" t="s">
        <v>23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t="str">
        <f t="shared" si="1"/>
        <v>SUMINISTROS|Campo definitivo</v>
      </c>
    </row>
    <row r="60" spans="1:9" x14ac:dyDescent="0.35">
      <c r="A60" t="s">
        <v>46</v>
      </c>
      <c r="B60" t="s">
        <v>24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t="str">
        <f t="shared" si="1"/>
        <v>SUMINISTROS|Packing</v>
      </c>
    </row>
    <row r="61" spans="1:9" x14ac:dyDescent="0.35">
      <c r="A61" t="s">
        <v>47</v>
      </c>
      <c r="B61" t="s">
        <v>22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t="str">
        <f t="shared" si="1"/>
        <v>VARIOS|Almácigo</v>
      </c>
    </row>
    <row r="62" spans="1:9" x14ac:dyDescent="0.35">
      <c r="A62" t="s">
        <v>47</v>
      </c>
      <c r="B62" t="s">
        <v>23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t="str">
        <f t="shared" si="1"/>
        <v>VARIOS|Campo definitivo</v>
      </c>
    </row>
    <row r="63" spans="1:9" x14ac:dyDescent="0.35">
      <c r="A63" t="s">
        <v>47</v>
      </c>
      <c r="B63" t="s">
        <v>24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t="str">
        <f t="shared" si="1"/>
        <v>VARIOS|Packing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3"/>
  <sheetViews>
    <sheetView zoomScale="80" zoomScaleNormal="8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27" sqref="G27"/>
    </sheetView>
  </sheetViews>
  <sheetFormatPr baseColWidth="10" defaultColWidth="8.7265625" defaultRowHeight="14.5" x14ac:dyDescent="0.35"/>
  <cols>
    <col min="1" max="3" width="28.7265625" customWidth="1"/>
    <col min="4" max="4" width="14.7265625" customWidth="1"/>
  </cols>
  <sheetData>
    <row r="1" spans="1:4" ht="15.5" x14ac:dyDescent="0.35">
      <c r="A1" s="3" t="s">
        <v>52</v>
      </c>
    </row>
    <row r="3" spans="1:4" x14ac:dyDescent="0.35">
      <c r="A3" s="1" t="s">
        <v>21</v>
      </c>
      <c r="B3" s="1" t="s">
        <v>49</v>
      </c>
      <c r="C3" s="1" t="s">
        <v>50</v>
      </c>
      <c r="D3" s="1" t="s">
        <v>53</v>
      </c>
    </row>
    <row r="4" spans="1:4" x14ac:dyDescent="0.35">
      <c r="A4" t="s">
        <v>28</v>
      </c>
      <c r="B4" t="s">
        <v>22</v>
      </c>
      <c r="C4" t="str">
        <f t="shared" ref="C4:C35" si="0">A4&amp;"|"&amp;B4</f>
        <v>Semilla|Almácigo</v>
      </c>
      <c r="D4" s="5">
        <f>IF(TABLERO!$B$1="Invierno",SUM(INDEX(PARAM_AVANCE_INVIERNO!$C$4:$H$63, MATCH(C4, PARAM_AVANCE_INVIERNO!$I$4:$I$63,0), 1):INDEX(PARAM_AVANCE_INVIERNO!$C$4:$H$63, MATCH(C4, PARAM_AVANCE_INVIERNO!$I$4:$I$63,0), TABLERO!$B$4)),SUM(INDEX(PARAM_AVANCE_VERANO!$C$4:$H$63, MATCH(C4, PARAM_AVANCE_VERANO!$I$4:$I$63,0), 1):INDEX(PARAM_AVANCE_VERANO!$C$4:$H$63, MATCH(C4, PARAM_AVANCE_VERANO!$I$4:$I$63,0), TABLERO!$B$4)))</f>
        <v>1</v>
      </c>
    </row>
    <row r="5" spans="1:4" x14ac:dyDescent="0.35">
      <c r="A5" t="s">
        <v>28</v>
      </c>
      <c r="B5" t="s">
        <v>23</v>
      </c>
      <c r="C5" t="str">
        <f t="shared" si="0"/>
        <v>Semilla|Campo definitivo</v>
      </c>
      <c r="D5" s="5">
        <f>IF(TABLERO!$B$1="Invierno",SUM(INDEX(PARAM_AVANCE_INVIERNO!$C$4:$H$63, MATCH(C5, PARAM_AVANCE_INVIERNO!$I$4:$I$63,0), 1):INDEX(PARAM_AVANCE_INVIERNO!$C$4:$H$63, MATCH(C5, PARAM_AVANCE_INVIERNO!$I$4:$I$63,0), TABLERO!$B$4)),SUM(INDEX(PARAM_AVANCE_VERANO!$C$4:$H$63, MATCH(C5, PARAM_AVANCE_VERANO!$I$4:$I$63,0), 1):INDEX(PARAM_AVANCE_VERANO!$C$4:$H$63, MATCH(C5, PARAM_AVANCE_VERANO!$I$4:$I$63,0), TABLERO!$B$4)))</f>
        <v>0</v>
      </c>
    </row>
    <row r="6" spans="1:4" x14ac:dyDescent="0.35">
      <c r="A6" t="s">
        <v>28</v>
      </c>
      <c r="B6" t="s">
        <v>24</v>
      </c>
      <c r="C6" t="str">
        <f t="shared" si="0"/>
        <v>Semilla|Packing</v>
      </c>
      <c r="D6" s="5">
        <f>IF(TABLERO!$B$1="Invierno",SUM(INDEX(PARAM_AVANCE_INVIERNO!$C$4:$H$63, MATCH(C6, PARAM_AVANCE_INVIERNO!$I$4:$I$63,0), 1):INDEX(PARAM_AVANCE_INVIERNO!$C$4:$H$63, MATCH(C6, PARAM_AVANCE_INVIERNO!$I$4:$I$63,0), TABLERO!$B$4)),SUM(INDEX(PARAM_AVANCE_VERANO!$C$4:$H$63, MATCH(C6, PARAM_AVANCE_VERANO!$I$4:$I$63,0), 1):INDEX(PARAM_AVANCE_VERANO!$C$4:$H$63, MATCH(C6, PARAM_AVANCE_VERANO!$I$4:$I$63,0), TABLERO!$B$4)))</f>
        <v>0</v>
      </c>
    </row>
    <row r="7" spans="1:4" x14ac:dyDescent="0.35">
      <c r="A7" t="s">
        <v>29</v>
      </c>
      <c r="B7" t="s">
        <v>22</v>
      </c>
      <c r="C7" t="str">
        <f t="shared" si="0"/>
        <v>Alquiler de campo|Almácigo</v>
      </c>
      <c r="D7" s="5">
        <f>IF(TABLERO!$B$1="Invierno",SUM(INDEX(PARAM_AVANCE_INVIERNO!$C$4:$H$63, MATCH(C7, PARAM_AVANCE_INVIERNO!$I$4:$I$63,0), 1):INDEX(PARAM_AVANCE_INVIERNO!$C$4:$H$63, MATCH(C7, PARAM_AVANCE_INVIERNO!$I$4:$I$63,0), TABLERO!$B$4)),SUM(INDEX(PARAM_AVANCE_VERANO!$C$4:$H$63, MATCH(C7, PARAM_AVANCE_VERANO!$I$4:$I$63,0), 1):INDEX(PARAM_AVANCE_VERANO!$C$4:$H$63, MATCH(C7, PARAM_AVANCE_VERANO!$I$4:$I$63,0), TABLERO!$B$4)))</f>
        <v>0</v>
      </c>
    </row>
    <row r="8" spans="1:4" x14ac:dyDescent="0.35">
      <c r="A8" t="s">
        <v>29</v>
      </c>
      <c r="B8" t="s">
        <v>23</v>
      </c>
      <c r="C8" t="str">
        <f t="shared" si="0"/>
        <v>Alquiler de campo|Campo definitivo</v>
      </c>
      <c r="D8" s="10">
        <f>IF(TABLERO!$B$1="Invierno",SUM(INDEX(PARAM_AVANCE_INVIERNO!$C$4:$H$63, MATCH(C8, PARAM_AVANCE_INVIERNO!$I$4:$I$63,0), 1):INDEX(PARAM_AVANCE_INVIERNO!$C$4:$H$63, MATCH(C8, PARAM_AVANCE_INVIERNO!$I$4:$I$63,0), TABLERO!$B$4)),SUM(INDEX(PARAM_AVANCE_VERANO!$C$4:$H$63, MATCH(C8, PARAM_AVANCE_VERANO!$I$4:$I$63,0), 1):INDEX(PARAM_AVANCE_VERANO!$C$4:$H$63, MATCH(C8, PARAM_AVANCE_VERANO!$I$4:$I$63,0), TABLERO!$B$4)))</f>
        <v>1.0000000000000002</v>
      </c>
    </row>
    <row r="9" spans="1:4" x14ac:dyDescent="0.35">
      <c r="A9" t="s">
        <v>29</v>
      </c>
      <c r="B9" t="s">
        <v>24</v>
      </c>
      <c r="C9" t="str">
        <f t="shared" si="0"/>
        <v>Alquiler de campo|Packing</v>
      </c>
      <c r="D9" s="5">
        <f>IF(TABLERO!$B$1="Invierno",SUM(INDEX(PARAM_AVANCE_INVIERNO!$C$4:$H$63, MATCH(C9, PARAM_AVANCE_INVIERNO!$I$4:$I$63,0), 1):INDEX(PARAM_AVANCE_INVIERNO!$C$4:$H$63, MATCH(C9, PARAM_AVANCE_INVIERNO!$I$4:$I$63,0), TABLERO!$B$4)),SUM(INDEX(PARAM_AVANCE_VERANO!$C$4:$H$63, MATCH(C9, PARAM_AVANCE_VERANO!$I$4:$I$63,0), 1):INDEX(PARAM_AVANCE_VERANO!$C$4:$H$63, MATCH(C9, PARAM_AVANCE_VERANO!$I$4:$I$63,0), TABLERO!$B$4)))</f>
        <v>0</v>
      </c>
    </row>
    <row r="10" spans="1:4" x14ac:dyDescent="0.35">
      <c r="A10" t="s">
        <v>30</v>
      </c>
      <c r="B10" t="s">
        <v>22</v>
      </c>
      <c r="C10" t="str">
        <f t="shared" si="0"/>
        <v>Accesorios de riego|Almácigo</v>
      </c>
      <c r="D10" s="5">
        <f>IF(TABLERO!$B$1="Invierno",SUM(INDEX(PARAM_AVANCE_INVIERNO!$C$4:$H$63, MATCH(C10, PARAM_AVANCE_INVIERNO!$I$4:$I$63,0), 1):INDEX(PARAM_AVANCE_INVIERNO!$C$4:$H$63, MATCH(C10, PARAM_AVANCE_INVIERNO!$I$4:$I$63,0), TABLERO!$B$4)),SUM(INDEX(PARAM_AVANCE_VERANO!$C$4:$H$63, MATCH(C10, PARAM_AVANCE_VERANO!$I$4:$I$63,0), 1):INDEX(PARAM_AVANCE_VERANO!$C$4:$H$63, MATCH(C10, PARAM_AVANCE_VERANO!$I$4:$I$63,0), TABLERO!$B$4)))</f>
        <v>0</v>
      </c>
    </row>
    <row r="11" spans="1:4" x14ac:dyDescent="0.35">
      <c r="A11" t="s">
        <v>30</v>
      </c>
      <c r="B11" t="s">
        <v>23</v>
      </c>
      <c r="C11" t="str">
        <f t="shared" si="0"/>
        <v>Accesorios de riego|Campo definitivo</v>
      </c>
      <c r="D11" s="5">
        <f>IF(TABLERO!$B$1="Invierno",SUM(INDEX(PARAM_AVANCE_INVIERNO!$C$4:$H$63, MATCH(C11, PARAM_AVANCE_INVIERNO!$I$4:$I$63,0), 1):INDEX(PARAM_AVANCE_INVIERNO!$C$4:$H$63, MATCH(C11, PARAM_AVANCE_INVIERNO!$I$4:$I$63,0), TABLERO!$B$4)),SUM(INDEX(PARAM_AVANCE_VERANO!$C$4:$H$63, MATCH(C11, PARAM_AVANCE_VERANO!$I$4:$I$63,0), 1):INDEX(PARAM_AVANCE_VERANO!$C$4:$H$63, MATCH(C11, PARAM_AVANCE_VERANO!$I$4:$I$63,0), TABLERO!$B$4)))</f>
        <v>1.0000000000000002</v>
      </c>
    </row>
    <row r="12" spans="1:4" x14ac:dyDescent="0.35">
      <c r="A12" t="s">
        <v>30</v>
      </c>
      <c r="B12" t="s">
        <v>24</v>
      </c>
      <c r="C12" t="str">
        <f t="shared" si="0"/>
        <v>Accesorios de riego|Packing</v>
      </c>
      <c r="D12" s="5">
        <f>IF(TABLERO!$B$1="Invierno",SUM(INDEX(PARAM_AVANCE_INVIERNO!$C$4:$H$63, MATCH(C12, PARAM_AVANCE_INVIERNO!$I$4:$I$63,0), 1):INDEX(PARAM_AVANCE_INVIERNO!$C$4:$H$63, MATCH(C12, PARAM_AVANCE_INVIERNO!$I$4:$I$63,0), TABLERO!$B$4)),SUM(INDEX(PARAM_AVANCE_VERANO!$C$4:$H$63, MATCH(C12, PARAM_AVANCE_VERANO!$I$4:$I$63,0), 1):INDEX(PARAM_AVANCE_VERANO!$C$4:$H$63, MATCH(C12, PARAM_AVANCE_VERANO!$I$4:$I$63,0), TABLERO!$B$4)))</f>
        <v>0</v>
      </c>
    </row>
    <row r="13" spans="1:4" x14ac:dyDescent="0.35">
      <c r="A13" t="s">
        <v>31</v>
      </c>
      <c r="B13" t="s">
        <v>22</v>
      </c>
      <c r="C13" t="str">
        <f t="shared" si="0"/>
        <v>Materia Orgánica|Almácigo</v>
      </c>
      <c r="D13" s="5">
        <f>IF(TABLERO!$B$1="Invierno",SUM(INDEX(PARAM_AVANCE_INVIERNO!$C$4:$H$63, MATCH(C13, PARAM_AVANCE_INVIERNO!$I$4:$I$63,0), 1):INDEX(PARAM_AVANCE_INVIERNO!$C$4:$H$63, MATCH(C13, PARAM_AVANCE_INVIERNO!$I$4:$I$63,0), TABLERO!$B$4)),SUM(INDEX(PARAM_AVANCE_VERANO!$C$4:$H$63, MATCH(C13, PARAM_AVANCE_VERANO!$I$4:$I$63,0), 1):INDEX(PARAM_AVANCE_VERANO!$C$4:$H$63, MATCH(C13, PARAM_AVANCE_VERANO!$I$4:$I$63,0), TABLERO!$B$4)))</f>
        <v>1.0000000000000002</v>
      </c>
    </row>
    <row r="14" spans="1:4" x14ac:dyDescent="0.35">
      <c r="A14" t="s">
        <v>31</v>
      </c>
      <c r="B14" t="s">
        <v>23</v>
      </c>
      <c r="C14" t="str">
        <f t="shared" si="0"/>
        <v>Materia Orgánica|Campo definitivo</v>
      </c>
      <c r="D14" s="5">
        <f>IF(TABLERO!$B$1="Invierno",SUM(INDEX(PARAM_AVANCE_INVIERNO!$C$4:$H$63, MATCH(C14, PARAM_AVANCE_INVIERNO!$I$4:$I$63,0), 1):INDEX(PARAM_AVANCE_INVIERNO!$C$4:$H$63, MATCH(C14, PARAM_AVANCE_INVIERNO!$I$4:$I$63,0), TABLERO!$B$4)),SUM(INDEX(PARAM_AVANCE_VERANO!$C$4:$H$63, MATCH(C14, PARAM_AVANCE_VERANO!$I$4:$I$63,0), 1):INDEX(PARAM_AVANCE_VERANO!$C$4:$H$63, MATCH(C14, PARAM_AVANCE_VERANO!$I$4:$I$63,0), TABLERO!$B$4)))</f>
        <v>1.0000000000000002</v>
      </c>
    </row>
    <row r="15" spans="1:4" x14ac:dyDescent="0.35">
      <c r="A15" t="s">
        <v>31</v>
      </c>
      <c r="B15" t="s">
        <v>24</v>
      </c>
      <c r="C15" t="str">
        <f t="shared" si="0"/>
        <v>Materia Orgánica|Packing</v>
      </c>
      <c r="D15" s="5">
        <f>IF(TABLERO!$B$1="Invierno",SUM(INDEX(PARAM_AVANCE_INVIERNO!$C$4:$H$63, MATCH(C15, PARAM_AVANCE_INVIERNO!$I$4:$I$63,0), 1):INDEX(PARAM_AVANCE_INVIERNO!$C$4:$H$63, MATCH(C15, PARAM_AVANCE_INVIERNO!$I$4:$I$63,0), TABLERO!$B$4)),SUM(INDEX(PARAM_AVANCE_VERANO!$C$4:$H$63, MATCH(C15, PARAM_AVANCE_VERANO!$I$4:$I$63,0), 1):INDEX(PARAM_AVANCE_VERANO!$C$4:$H$63, MATCH(C15, PARAM_AVANCE_VERANO!$I$4:$I$63,0), TABLERO!$B$4)))</f>
        <v>0</v>
      </c>
    </row>
    <row r="16" spans="1:4" x14ac:dyDescent="0.35">
      <c r="A16" t="s">
        <v>32</v>
      </c>
      <c r="B16" t="s">
        <v>22</v>
      </c>
      <c r="C16" t="str">
        <f t="shared" si="0"/>
        <v>Agua|Almácigo</v>
      </c>
      <c r="D16" s="5">
        <f>IF(TABLERO!$B$1="Invierno",SUM(INDEX(PARAM_AVANCE_INVIERNO!$C$4:$H$63, MATCH(C16, PARAM_AVANCE_INVIERNO!$I$4:$I$63,0), 1):INDEX(PARAM_AVANCE_INVIERNO!$C$4:$H$63, MATCH(C16, PARAM_AVANCE_INVIERNO!$I$4:$I$63,0), TABLERO!$B$4)),SUM(INDEX(PARAM_AVANCE_VERANO!$C$4:$H$63, MATCH(C16, PARAM_AVANCE_VERANO!$I$4:$I$63,0), 1):INDEX(PARAM_AVANCE_VERANO!$C$4:$H$63, MATCH(C16, PARAM_AVANCE_VERANO!$I$4:$I$63,0), TABLERO!$B$4)))</f>
        <v>1.0000000000000002</v>
      </c>
    </row>
    <row r="17" spans="1:4" x14ac:dyDescent="0.35">
      <c r="A17" t="s">
        <v>32</v>
      </c>
      <c r="B17" t="s">
        <v>23</v>
      </c>
      <c r="C17" t="str">
        <f t="shared" si="0"/>
        <v>Agua|Campo definitivo</v>
      </c>
      <c r="D17" s="5">
        <f>IF(TABLERO!$B$1="Invierno",SUM(INDEX(PARAM_AVANCE_INVIERNO!$C$4:$H$63, MATCH(C17, PARAM_AVANCE_INVIERNO!$I$4:$I$63,0), 1):INDEX(PARAM_AVANCE_INVIERNO!$C$4:$H$63, MATCH(C17, PARAM_AVANCE_INVIERNO!$I$4:$I$63,0), TABLERO!$B$4)),SUM(INDEX(PARAM_AVANCE_VERANO!$C$4:$H$63, MATCH(C17, PARAM_AVANCE_VERANO!$I$4:$I$63,0), 1):INDEX(PARAM_AVANCE_VERANO!$C$4:$H$63, MATCH(C17, PARAM_AVANCE_VERANO!$I$4:$I$63,0), TABLERO!$B$4)))</f>
        <v>0.99999999999999989</v>
      </c>
    </row>
    <row r="18" spans="1:4" x14ac:dyDescent="0.35">
      <c r="A18" t="s">
        <v>32</v>
      </c>
      <c r="B18" t="s">
        <v>24</v>
      </c>
      <c r="C18" t="str">
        <f t="shared" si="0"/>
        <v>Agua|Packing</v>
      </c>
      <c r="D18" s="5">
        <f>IF(TABLERO!$B$1="Invierno",SUM(INDEX(PARAM_AVANCE_INVIERNO!$C$4:$H$63, MATCH(C18, PARAM_AVANCE_INVIERNO!$I$4:$I$63,0), 1):INDEX(PARAM_AVANCE_INVIERNO!$C$4:$H$63, MATCH(C18, PARAM_AVANCE_INVIERNO!$I$4:$I$63,0), TABLERO!$B$4)),SUM(INDEX(PARAM_AVANCE_VERANO!$C$4:$H$63, MATCH(C18, PARAM_AVANCE_VERANO!$I$4:$I$63,0), 1):INDEX(PARAM_AVANCE_VERANO!$C$4:$H$63, MATCH(C18, PARAM_AVANCE_VERANO!$I$4:$I$63,0), TABLERO!$B$4)))</f>
        <v>0</v>
      </c>
    </row>
    <row r="19" spans="1:4" x14ac:dyDescent="0.35">
      <c r="A19" t="s">
        <v>33</v>
      </c>
      <c r="B19" t="s">
        <v>22</v>
      </c>
      <c r="C19" t="str">
        <f t="shared" si="0"/>
        <v>Alquiler de Maquinaria|Almácigo</v>
      </c>
      <c r="D19" s="5">
        <f>IF(TABLERO!$B$1="Invierno",SUM(INDEX(PARAM_AVANCE_INVIERNO!$C$4:$H$63, MATCH(C19, PARAM_AVANCE_INVIERNO!$I$4:$I$63,0), 1):INDEX(PARAM_AVANCE_INVIERNO!$C$4:$H$63, MATCH(C19, PARAM_AVANCE_INVIERNO!$I$4:$I$63,0), TABLERO!$B$4)),SUM(INDEX(PARAM_AVANCE_VERANO!$C$4:$H$63, MATCH(C19, PARAM_AVANCE_VERANO!$I$4:$I$63,0), 1):INDEX(PARAM_AVANCE_VERANO!$C$4:$H$63, MATCH(C19, PARAM_AVANCE_VERANO!$I$4:$I$63,0), TABLERO!$B$4)))</f>
        <v>1.0000000000000002</v>
      </c>
    </row>
    <row r="20" spans="1:4" x14ac:dyDescent="0.35">
      <c r="A20" t="s">
        <v>33</v>
      </c>
      <c r="B20" t="s">
        <v>23</v>
      </c>
      <c r="C20" t="str">
        <f t="shared" si="0"/>
        <v>Alquiler de Maquinaria|Campo definitivo</v>
      </c>
      <c r="D20" s="5">
        <f>IF(TABLERO!$B$1="Invierno",SUM(INDEX(PARAM_AVANCE_INVIERNO!$C$4:$H$63, MATCH(C20, PARAM_AVANCE_INVIERNO!$I$4:$I$63,0), 1):INDEX(PARAM_AVANCE_INVIERNO!$C$4:$H$63, MATCH(C20, PARAM_AVANCE_INVIERNO!$I$4:$I$63,0), TABLERO!$B$4)),SUM(INDEX(PARAM_AVANCE_VERANO!$C$4:$H$63, MATCH(C20, PARAM_AVANCE_VERANO!$I$4:$I$63,0), 1):INDEX(PARAM_AVANCE_VERANO!$C$4:$H$63, MATCH(C20, PARAM_AVANCE_VERANO!$I$4:$I$63,0), TABLERO!$B$4)))</f>
        <v>1.0000000000000002</v>
      </c>
    </row>
    <row r="21" spans="1:4" x14ac:dyDescent="0.35">
      <c r="A21" t="s">
        <v>33</v>
      </c>
      <c r="B21" t="s">
        <v>24</v>
      </c>
      <c r="C21" t="str">
        <f t="shared" si="0"/>
        <v>Alquiler de Maquinaria|Packing</v>
      </c>
      <c r="D21" s="5">
        <f>IF(TABLERO!$B$1="Invierno",SUM(INDEX(PARAM_AVANCE_INVIERNO!$C$4:$H$63, MATCH(C21, PARAM_AVANCE_INVIERNO!$I$4:$I$63,0), 1):INDEX(PARAM_AVANCE_INVIERNO!$C$4:$H$63, MATCH(C21, PARAM_AVANCE_INVIERNO!$I$4:$I$63,0), TABLERO!$B$4)),SUM(INDEX(PARAM_AVANCE_VERANO!$C$4:$H$63, MATCH(C21, PARAM_AVANCE_VERANO!$I$4:$I$63,0), 1):INDEX(PARAM_AVANCE_VERANO!$C$4:$H$63, MATCH(C21, PARAM_AVANCE_VERANO!$I$4:$I$63,0), TABLERO!$B$4)))</f>
        <v>0</v>
      </c>
    </row>
    <row r="22" spans="1:4" x14ac:dyDescent="0.35">
      <c r="A22" t="s">
        <v>34</v>
      </c>
      <c r="B22" t="s">
        <v>22</v>
      </c>
      <c r="C22" t="str">
        <f t="shared" si="0"/>
        <v>Fertilizantes / Abono Organico|Almácigo</v>
      </c>
      <c r="D22" s="5">
        <f>IF(TABLERO!$B$1="Invierno",SUM(INDEX(PARAM_AVANCE_INVIERNO!$C$4:$H$63, MATCH(C22, PARAM_AVANCE_INVIERNO!$I$4:$I$63,0), 1):INDEX(PARAM_AVANCE_INVIERNO!$C$4:$H$63, MATCH(C22, PARAM_AVANCE_INVIERNO!$I$4:$I$63,0), TABLERO!$B$4)),SUM(INDEX(PARAM_AVANCE_VERANO!$C$4:$H$63, MATCH(C22, PARAM_AVANCE_VERANO!$I$4:$I$63,0), 1):INDEX(PARAM_AVANCE_VERANO!$C$4:$H$63, MATCH(C22, PARAM_AVANCE_VERANO!$I$4:$I$63,0), TABLERO!$B$4)))</f>
        <v>1.0000000000000002</v>
      </c>
    </row>
    <row r="23" spans="1:4" x14ac:dyDescent="0.35">
      <c r="A23" t="s">
        <v>34</v>
      </c>
      <c r="B23" t="s">
        <v>23</v>
      </c>
      <c r="C23" t="str">
        <f t="shared" si="0"/>
        <v>Fertilizantes / Abono Organico|Campo definitivo</v>
      </c>
      <c r="D23" s="5">
        <f>IF(TABLERO!$B$1="Invierno",SUM(INDEX(PARAM_AVANCE_INVIERNO!$C$4:$H$63, MATCH(C23, PARAM_AVANCE_INVIERNO!$I$4:$I$63,0), 1):INDEX(PARAM_AVANCE_INVIERNO!$C$4:$H$63, MATCH(C23, PARAM_AVANCE_INVIERNO!$I$4:$I$63,0), TABLERO!$B$4)),SUM(INDEX(PARAM_AVANCE_VERANO!$C$4:$H$63, MATCH(C23, PARAM_AVANCE_VERANO!$I$4:$I$63,0), 1):INDEX(PARAM_AVANCE_VERANO!$C$4:$H$63, MATCH(C23, PARAM_AVANCE_VERANO!$I$4:$I$63,0), TABLERO!$B$4)))</f>
        <v>1</v>
      </c>
    </row>
    <row r="24" spans="1:4" x14ac:dyDescent="0.35">
      <c r="A24" t="s">
        <v>34</v>
      </c>
      <c r="B24" t="s">
        <v>24</v>
      </c>
      <c r="C24" t="str">
        <f t="shared" si="0"/>
        <v>Fertilizantes / Abono Organico|Packing</v>
      </c>
      <c r="D24" s="5">
        <f>IF(TABLERO!$B$1="Invierno",SUM(INDEX(PARAM_AVANCE_INVIERNO!$C$4:$H$63, MATCH(C24, PARAM_AVANCE_INVIERNO!$I$4:$I$63,0), 1):INDEX(PARAM_AVANCE_INVIERNO!$C$4:$H$63, MATCH(C24, PARAM_AVANCE_INVIERNO!$I$4:$I$63,0), TABLERO!$B$4)),SUM(INDEX(PARAM_AVANCE_VERANO!$C$4:$H$63, MATCH(C24, PARAM_AVANCE_VERANO!$I$4:$I$63,0), 1):INDEX(PARAM_AVANCE_VERANO!$C$4:$H$63, MATCH(C24, PARAM_AVANCE_VERANO!$I$4:$I$63,0), TABLERO!$B$4)))</f>
        <v>0</v>
      </c>
    </row>
    <row r="25" spans="1:4" x14ac:dyDescent="0.35">
      <c r="A25" t="s">
        <v>35</v>
      </c>
      <c r="B25" t="s">
        <v>22</v>
      </c>
      <c r="C25" t="str">
        <f t="shared" si="0"/>
        <v>Agroquimicos / Foliares|Almácigo</v>
      </c>
      <c r="D25" s="5">
        <f>IF(TABLERO!$B$1="Invierno",SUM(INDEX(PARAM_AVANCE_INVIERNO!$C$4:$H$63, MATCH(C25, PARAM_AVANCE_INVIERNO!$I$4:$I$63,0), 1):INDEX(PARAM_AVANCE_INVIERNO!$C$4:$H$63, MATCH(C25, PARAM_AVANCE_INVIERNO!$I$4:$I$63,0), TABLERO!$B$4)),SUM(INDEX(PARAM_AVANCE_VERANO!$C$4:$H$63, MATCH(C25, PARAM_AVANCE_VERANO!$I$4:$I$63,0), 1):INDEX(PARAM_AVANCE_VERANO!$C$4:$H$63, MATCH(C25, PARAM_AVANCE_VERANO!$I$4:$I$63,0), TABLERO!$B$4)))</f>
        <v>1.0000000000000002</v>
      </c>
    </row>
    <row r="26" spans="1:4" x14ac:dyDescent="0.35">
      <c r="A26" t="s">
        <v>35</v>
      </c>
      <c r="B26" t="s">
        <v>23</v>
      </c>
      <c r="C26" t="str">
        <f t="shared" si="0"/>
        <v>Agroquimicos / Foliares|Campo definitivo</v>
      </c>
      <c r="D26" s="5">
        <f>IF(TABLERO!$B$1="Invierno",SUM(INDEX(PARAM_AVANCE_INVIERNO!$C$4:$H$63, MATCH(C26, PARAM_AVANCE_INVIERNO!$I$4:$I$63,0), 1):INDEX(PARAM_AVANCE_INVIERNO!$C$4:$H$63, MATCH(C26, PARAM_AVANCE_INVIERNO!$I$4:$I$63,0), TABLERO!$B$4)),SUM(INDEX(PARAM_AVANCE_VERANO!$C$4:$H$63, MATCH(C26, PARAM_AVANCE_VERANO!$I$4:$I$63,0), 1):INDEX(PARAM_AVANCE_VERANO!$C$4:$H$63, MATCH(C26, PARAM_AVANCE_VERANO!$I$4:$I$63,0), TABLERO!$B$4)))</f>
        <v>1</v>
      </c>
    </row>
    <row r="27" spans="1:4" x14ac:dyDescent="0.35">
      <c r="A27" t="s">
        <v>35</v>
      </c>
      <c r="B27" t="s">
        <v>24</v>
      </c>
      <c r="C27" t="str">
        <f t="shared" si="0"/>
        <v>Agroquimicos / Foliares|Packing</v>
      </c>
      <c r="D27" s="5">
        <f>IF(TABLERO!$B$1="Invierno",SUM(INDEX(PARAM_AVANCE_INVIERNO!$C$4:$H$63, MATCH(C27, PARAM_AVANCE_INVIERNO!$I$4:$I$63,0), 1):INDEX(PARAM_AVANCE_INVIERNO!$C$4:$H$63, MATCH(C27, PARAM_AVANCE_INVIERNO!$I$4:$I$63,0), TABLERO!$B$4)),SUM(INDEX(PARAM_AVANCE_VERANO!$C$4:$H$63, MATCH(C27, PARAM_AVANCE_VERANO!$I$4:$I$63,0), 1):INDEX(PARAM_AVANCE_VERANO!$C$4:$H$63, MATCH(C27, PARAM_AVANCE_VERANO!$I$4:$I$63,0), TABLERO!$B$4)))</f>
        <v>0</v>
      </c>
    </row>
    <row r="28" spans="1:4" x14ac:dyDescent="0.35">
      <c r="A28" t="s">
        <v>36</v>
      </c>
      <c r="B28" t="s">
        <v>22</v>
      </c>
      <c r="C28" t="str">
        <f t="shared" si="0"/>
        <v>Personal Eventual s/ contrato|Almácigo</v>
      </c>
      <c r="D28" s="5">
        <f>IF(TABLERO!$B$1="Invierno",SUM(INDEX(PARAM_AVANCE_INVIERNO!$C$4:$H$63, MATCH(C28, PARAM_AVANCE_INVIERNO!$I$4:$I$63,0), 1):INDEX(PARAM_AVANCE_INVIERNO!$C$4:$H$63, MATCH(C28, PARAM_AVANCE_INVIERNO!$I$4:$I$63,0), TABLERO!$B$4)),SUM(INDEX(PARAM_AVANCE_VERANO!$C$4:$H$63, MATCH(C28, PARAM_AVANCE_VERANO!$I$4:$I$63,0), 1):INDEX(PARAM_AVANCE_VERANO!$C$4:$H$63, MATCH(C28, PARAM_AVANCE_VERANO!$I$4:$I$63,0), TABLERO!$B$4)))</f>
        <v>1.0000000000000002</v>
      </c>
    </row>
    <row r="29" spans="1:4" x14ac:dyDescent="0.35">
      <c r="A29" t="s">
        <v>36</v>
      </c>
      <c r="B29" t="s">
        <v>23</v>
      </c>
      <c r="C29" t="str">
        <f t="shared" si="0"/>
        <v>Personal Eventual s/ contrato|Campo definitivo</v>
      </c>
      <c r="D29" s="5">
        <f>IF(TABLERO!$B$1="Invierno",SUM(INDEX(PARAM_AVANCE_INVIERNO!$C$4:$H$63, MATCH(C29, PARAM_AVANCE_INVIERNO!$I$4:$I$63,0), 1):INDEX(PARAM_AVANCE_INVIERNO!$C$4:$H$63, MATCH(C29, PARAM_AVANCE_INVIERNO!$I$4:$I$63,0), TABLERO!$B$4)),SUM(INDEX(PARAM_AVANCE_VERANO!$C$4:$H$63, MATCH(C29, PARAM_AVANCE_VERANO!$I$4:$I$63,0), 1):INDEX(PARAM_AVANCE_VERANO!$C$4:$H$63, MATCH(C29, PARAM_AVANCE_VERANO!$I$4:$I$63,0), TABLERO!$B$4)))</f>
        <v>1</v>
      </c>
    </row>
    <row r="30" spans="1:4" x14ac:dyDescent="0.35">
      <c r="A30" t="s">
        <v>36</v>
      </c>
      <c r="B30" t="s">
        <v>24</v>
      </c>
      <c r="C30" t="str">
        <f t="shared" si="0"/>
        <v>Personal Eventual s/ contrato|Packing</v>
      </c>
      <c r="D30" s="5">
        <f>IF(TABLERO!$B$1="Invierno",SUM(INDEX(PARAM_AVANCE_INVIERNO!$C$4:$H$63, MATCH(C30, PARAM_AVANCE_INVIERNO!$I$4:$I$63,0), 1):INDEX(PARAM_AVANCE_INVIERNO!$C$4:$H$63, MATCH(C30, PARAM_AVANCE_INVIERNO!$I$4:$I$63,0), TABLERO!$B$4)),SUM(INDEX(PARAM_AVANCE_VERANO!$C$4:$H$63, MATCH(C30, PARAM_AVANCE_VERANO!$I$4:$I$63,0), 1):INDEX(PARAM_AVANCE_VERANO!$C$4:$H$63, MATCH(C30, PARAM_AVANCE_VERANO!$I$4:$I$63,0), TABLERO!$B$4)))</f>
        <v>1.0000000000000002</v>
      </c>
    </row>
    <row r="31" spans="1:4" x14ac:dyDescent="0.35">
      <c r="A31" t="s">
        <v>37</v>
      </c>
      <c r="B31" t="s">
        <v>22</v>
      </c>
      <c r="C31" t="str">
        <f t="shared" si="0"/>
        <v>Transport costs|Almácigo</v>
      </c>
      <c r="D31" s="5">
        <f>IF(TABLERO!$B$1="Invierno",SUM(INDEX(PARAM_AVANCE_INVIERNO!$C$4:$H$63, MATCH(C31, PARAM_AVANCE_INVIERNO!$I$4:$I$63,0), 1):INDEX(PARAM_AVANCE_INVIERNO!$C$4:$H$63, MATCH(C31, PARAM_AVANCE_INVIERNO!$I$4:$I$63,0), TABLERO!$B$4)),SUM(INDEX(PARAM_AVANCE_VERANO!$C$4:$H$63, MATCH(C31, PARAM_AVANCE_VERANO!$I$4:$I$63,0), 1):INDEX(PARAM_AVANCE_VERANO!$C$4:$H$63, MATCH(C31, PARAM_AVANCE_VERANO!$I$4:$I$63,0), TABLERO!$B$4)))</f>
        <v>0</v>
      </c>
    </row>
    <row r="32" spans="1:4" x14ac:dyDescent="0.35">
      <c r="A32" t="s">
        <v>37</v>
      </c>
      <c r="B32" t="s">
        <v>23</v>
      </c>
      <c r="C32" t="str">
        <f t="shared" si="0"/>
        <v>Transport costs|Campo definitivo</v>
      </c>
      <c r="D32" s="5">
        <f>IF(TABLERO!$B$1="Invierno",SUM(INDEX(PARAM_AVANCE_INVIERNO!$C$4:$H$63, MATCH(C32, PARAM_AVANCE_INVIERNO!$I$4:$I$63,0), 1):INDEX(PARAM_AVANCE_INVIERNO!$C$4:$H$63, MATCH(C32, PARAM_AVANCE_INVIERNO!$I$4:$I$63,0), TABLERO!$B$4)),SUM(INDEX(PARAM_AVANCE_VERANO!$C$4:$H$63, MATCH(C32, PARAM_AVANCE_VERANO!$I$4:$I$63,0), 1):INDEX(PARAM_AVANCE_VERANO!$C$4:$H$63, MATCH(C32, PARAM_AVANCE_VERANO!$I$4:$I$63,0), TABLERO!$B$4)))</f>
        <v>1.0000000000000002</v>
      </c>
    </row>
    <row r="33" spans="1:4" x14ac:dyDescent="0.35">
      <c r="A33" t="s">
        <v>37</v>
      </c>
      <c r="B33" t="s">
        <v>24</v>
      </c>
      <c r="C33" t="str">
        <f t="shared" si="0"/>
        <v>Transport costs|Packing</v>
      </c>
      <c r="D33" s="5">
        <f>IF(TABLERO!$B$1="Invierno",SUM(INDEX(PARAM_AVANCE_INVIERNO!$C$4:$H$63, MATCH(C33, PARAM_AVANCE_INVIERNO!$I$4:$I$63,0), 1):INDEX(PARAM_AVANCE_INVIERNO!$C$4:$H$63, MATCH(C33, PARAM_AVANCE_INVIERNO!$I$4:$I$63,0), TABLERO!$B$4)),SUM(INDEX(PARAM_AVANCE_VERANO!$C$4:$H$63, MATCH(C33, PARAM_AVANCE_VERANO!$I$4:$I$63,0), 1):INDEX(PARAM_AVANCE_VERANO!$C$4:$H$63, MATCH(C33, PARAM_AVANCE_VERANO!$I$4:$I$63,0), TABLERO!$B$4)))</f>
        <v>1</v>
      </c>
    </row>
    <row r="34" spans="1:4" x14ac:dyDescent="0.35">
      <c r="A34" t="s">
        <v>38</v>
      </c>
      <c r="B34" t="s">
        <v>22</v>
      </c>
      <c r="C34" t="str">
        <f t="shared" si="0"/>
        <v>Arpillas Campo|Almácigo</v>
      </c>
      <c r="D34" s="5">
        <f>IF(TABLERO!$B$1="Invierno",SUM(INDEX(PARAM_AVANCE_INVIERNO!$C$4:$H$63, MATCH(C34, PARAM_AVANCE_INVIERNO!$I$4:$I$63,0), 1):INDEX(PARAM_AVANCE_INVIERNO!$C$4:$H$63, MATCH(C34, PARAM_AVANCE_INVIERNO!$I$4:$I$63,0), TABLERO!$B$4)),SUM(INDEX(PARAM_AVANCE_VERANO!$C$4:$H$63, MATCH(C34, PARAM_AVANCE_VERANO!$I$4:$I$63,0), 1):INDEX(PARAM_AVANCE_VERANO!$C$4:$H$63, MATCH(C34, PARAM_AVANCE_VERANO!$I$4:$I$63,0), TABLERO!$B$4)))</f>
        <v>0</v>
      </c>
    </row>
    <row r="35" spans="1:4" x14ac:dyDescent="0.35">
      <c r="A35" t="s">
        <v>38</v>
      </c>
      <c r="B35" t="s">
        <v>23</v>
      </c>
      <c r="C35" t="str">
        <f t="shared" si="0"/>
        <v>Arpillas Campo|Campo definitivo</v>
      </c>
      <c r="D35" s="5">
        <f>IF(TABLERO!$B$1="Invierno",SUM(INDEX(PARAM_AVANCE_INVIERNO!$C$4:$H$63, MATCH(C35, PARAM_AVANCE_INVIERNO!$I$4:$I$63,0), 1):INDEX(PARAM_AVANCE_INVIERNO!$C$4:$H$63, MATCH(C35, PARAM_AVANCE_INVIERNO!$I$4:$I$63,0), TABLERO!$B$4)),SUM(INDEX(PARAM_AVANCE_VERANO!$C$4:$H$63, MATCH(C35, PARAM_AVANCE_VERANO!$I$4:$I$63,0), 1):INDEX(PARAM_AVANCE_VERANO!$C$4:$H$63, MATCH(C35, PARAM_AVANCE_VERANO!$I$4:$I$63,0), TABLERO!$B$4)))</f>
        <v>1.0000000000000002</v>
      </c>
    </row>
    <row r="36" spans="1:4" x14ac:dyDescent="0.35">
      <c r="A36" t="s">
        <v>38</v>
      </c>
      <c r="B36" t="s">
        <v>24</v>
      </c>
      <c r="C36" t="str">
        <f t="shared" ref="C36:C63" si="1">A36&amp;"|"&amp;B36</f>
        <v>Arpillas Campo|Packing</v>
      </c>
      <c r="D36" s="5">
        <f>IF(TABLERO!$B$1="Invierno",SUM(INDEX(PARAM_AVANCE_INVIERNO!$C$4:$H$63, MATCH(C36, PARAM_AVANCE_INVIERNO!$I$4:$I$63,0), 1):INDEX(PARAM_AVANCE_INVIERNO!$C$4:$H$63, MATCH(C36, PARAM_AVANCE_INVIERNO!$I$4:$I$63,0), TABLERO!$B$4)),SUM(INDEX(PARAM_AVANCE_VERANO!$C$4:$H$63, MATCH(C36, PARAM_AVANCE_VERANO!$I$4:$I$63,0), 1):INDEX(PARAM_AVANCE_VERANO!$C$4:$H$63, MATCH(C36, PARAM_AVANCE_VERANO!$I$4:$I$63,0), TABLERO!$B$4)))</f>
        <v>1</v>
      </c>
    </row>
    <row r="37" spans="1:4" x14ac:dyDescent="0.35">
      <c r="A37" t="s">
        <v>39</v>
      </c>
      <c r="B37" t="s">
        <v>22</v>
      </c>
      <c r="C37" t="str">
        <f t="shared" si="1"/>
        <v>Servicio de terceros|Almácigo</v>
      </c>
      <c r="D37" s="5">
        <f>IF(TABLERO!$B$1="Invierno",SUM(INDEX(PARAM_AVANCE_INVIERNO!$C$4:$H$63, MATCH(C37, PARAM_AVANCE_INVIERNO!$I$4:$I$63,0), 1):INDEX(PARAM_AVANCE_INVIERNO!$C$4:$H$63, MATCH(C37, PARAM_AVANCE_INVIERNO!$I$4:$I$63,0), TABLERO!$B$4)),SUM(INDEX(PARAM_AVANCE_VERANO!$C$4:$H$63, MATCH(C37, PARAM_AVANCE_VERANO!$I$4:$I$63,0), 1):INDEX(PARAM_AVANCE_VERANO!$C$4:$H$63, MATCH(C37, PARAM_AVANCE_VERANO!$I$4:$I$63,0), TABLERO!$B$4)))</f>
        <v>0</v>
      </c>
    </row>
    <row r="38" spans="1:4" x14ac:dyDescent="0.35">
      <c r="A38" t="s">
        <v>39</v>
      </c>
      <c r="B38" t="s">
        <v>23</v>
      </c>
      <c r="C38" t="str">
        <f t="shared" si="1"/>
        <v>Servicio de terceros|Campo definitivo</v>
      </c>
      <c r="D38" s="5">
        <f>IF(TABLERO!$B$1="Invierno",SUM(INDEX(PARAM_AVANCE_INVIERNO!$C$4:$H$63, MATCH(C38, PARAM_AVANCE_INVIERNO!$I$4:$I$63,0), 1):INDEX(PARAM_AVANCE_INVIERNO!$C$4:$H$63, MATCH(C38, PARAM_AVANCE_INVIERNO!$I$4:$I$63,0), TABLERO!$B$4)),SUM(INDEX(PARAM_AVANCE_VERANO!$C$4:$H$63, MATCH(C38, PARAM_AVANCE_VERANO!$I$4:$I$63,0), 1):INDEX(PARAM_AVANCE_VERANO!$C$4:$H$63, MATCH(C38, PARAM_AVANCE_VERANO!$I$4:$I$63,0), TABLERO!$B$4)))</f>
        <v>1.0000000000000002</v>
      </c>
    </row>
    <row r="39" spans="1:4" x14ac:dyDescent="0.35">
      <c r="A39" t="s">
        <v>39</v>
      </c>
      <c r="B39" t="s">
        <v>24</v>
      </c>
      <c r="C39" t="str">
        <f t="shared" si="1"/>
        <v>Servicio de terceros|Packing</v>
      </c>
      <c r="D39" s="5">
        <f>IF(TABLERO!$B$1="Invierno",SUM(INDEX(PARAM_AVANCE_INVIERNO!$C$4:$H$63, MATCH(C39, PARAM_AVANCE_INVIERNO!$I$4:$I$63,0), 1):INDEX(PARAM_AVANCE_INVIERNO!$C$4:$H$63, MATCH(C39, PARAM_AVANCE_INVIERNO!$I$4:$I$63,0), TABLERO!$B$4)),SUM(INDEX(PARAM_AVANCE_VERANO!$C$4:$H$63, MATCH(C39, PARAM_AVANCE_VERANO!$I$4:$I$63,0), 1):INDEX(PARAM_AVANCE_VERANO!$C$4:$H$63, MATCH(C39, PARAM_AVANCE_VERANO!$I$4:$I$63,0), TABLERO!$B$4)))</f>
        <v>0</v>
      </c>
    </row>
    <row r="40" spans="1:4" x14ac:dyDescent="0.35">
      <c r="A40" t="s">
        <v>40</v>
      </c>
      <c r="B40" t="s">
        <v>22</v>
      </c>
      <c r="C40" t="str">
        <f t="shared" si="1"/>
        <v>Certificación HACCP/SENASA|Almácigo</v>
      </c>
      <c r="D40" s="5">
        <f>IF(TABLERO!$B$1="Invierno",SUM(INDEX(PARAM_AVANCE_INVIERNO!$C$4:$H$63, MATCH(C40, PARAM_AVANCE_INVIERNO!$I$4:$I$63,0), 1):INDEX(PARAM_AVANCE_INVIERNO!$C$4:$H$63, MATCH(C40, PARAM_AVANCE_INVIERNO!$I$4:$I$63,0), TABLERO!$B$4)),SUM(INDEX(PARAM_AVANCE_VERANO!$C$4:$H$63, MATCH(C40, PARAM_AVANCE_VERANO!$I$4:$I$63,0), 1):INDEX(PARAM_AVANCE_VERANO!$C$4:$H$63, MATCH(C40, PARAM_AVANCE_VERANO!$I$4:$I$63,0), TABLERO!$B$4)))</f>
        <v>0</v>
      </c>
    </row>
    <row r="41" spans="1:4" x14ac:dyDescent="0.35">
      <c r="A41" t="s">
        <v>40</v>
      </c>
      <c r="B41" t="s">
        <v>23</v>
      </c>
      <c r="C41" t="str">
        <f t="shared" si="1"/>
        <v>Certificación HACCP/SENASA|Campo definitivo</v>
      </c>
      <c r="D41" s="5">
        <f>IF(TABLERO!$B$1="Invierno",SUM(INDEX(PARAM_AVANCE_INVIERNO!$C$4:$H$63, MATCH(C41, PARAM_AVANCE_INVIERNO!$I$4:$I$63,0), 1):INDEX(PARAM_AVANCE_INVIERNO!$C$4:$H$63, MATCH(C41, PARAM_AVANCE_INVIERNO!$I$4:$I$63,0), TABLERO!$B$4)),SUM(INDEX(PARAM_AVANCE_VERANO!$C$4:$H$63, MATCH(C41, PARAM_AVANCE_VERANO!$I$4:$I$63,0), 1):INDEX(PARAM_AVANCE_VERANO!$C$4:$H$63, MATCH(C41, PARAM_AVANCE_VERANO!$I$4:$I$63,0), TABLERO!$B$4)))</f>
        <v>0</v>
      </c>
    </row>
    <row r="42" spans="1:4" x14ac:dyDescent="0.35">
      <c r="A42" t="s">
        <v>40</v>
      </c>
      <c r="B42" t="s">
        <v>24</v>
      </c>
      <c r="C42" t="str">
        <f t="shared" si="1"/>
        <v>Certificación HACCP/SENASA|Packing</v>
      </c>
      <c r="D42" s="5">
        <f>IF(TABLERO!$B$1="Invierno",SUM(INDEX(PARAM_AVANCE_INVIERNO!$C$4:$H$63, MATCH(C42, PARAM_AVANCE_INVIERNO!$I$4:$I$63,0), 1):INDEX(PARAM_AVANCE_INVIERNO!$C$4:$H$63, MATCH(C42, PARAM_AVANCE_INVIERNO!$I$4:$I$63,0), TABLERO!$B$4)),SUM(INDEX(PARAM_AVANCE_VERANO!$C$4:$H$63, MATCH(C42, PARAM_AVANCE_VERANO!$I$4:$I$63,0), 1):INDEX(PARAM_AVANCE_VERANO!$C$4:$H$63, MATCH(C42, PARAM_AVANCE_VERANO!$I$4:$I$63,0), TABLERO!$B$4)))</f>
        <v>1</v>
      </c>
    </row>
    <row r="43" spans="1:4" x14ac:dyDescent="0.35">
      <c r="A43" t="s">
        <v>41</v>
      </c>
      <c r="B43" t="s">
        <v>22</v>
      </c>
      <c r="C43" t="str">
        <f t="shared" si="1"/>
        <v>Estiba por contenedor|Almácigo</v>
      </c>
      <c r="D43" s="5">
        <f>IF(TABLERO!$B$1="Invierno",SUM(INDEX(PARAM_AVANCE_INVIERNO!$C$4:$H$63, MATCH(C43, PARAM_AVANCE_INVIERNO!$I$4:$I$63,0), 1):INDEX(PARAM_AVANCE_INVIERNO!$C$4:$H$63, MATCH(C43, PARAM_AVANCE_INVIERNO!$I$4:$I$63,0), TABLERO!$B$4)),SUM(INDEX(PARAM_AVANCE_VERANO!$C$4:$H$63, MATCH(C43, PARAM_AVANCE_VERANO!$I$4:$I$63,0), 1):INDEX(PARAM_AVANCE_VERANO!$C$4:$H$63, MATCH(C43, PARAM_AVANCE_VERANO!$I$4:$I$63,0), TABLERO!$B$4)))</f>
        <v>0</v>
      </c>
    </row>
    <row r="44" spans="1:4" x14ac:dyDescent="0.35">
      <c r="A44" t="s">
        <v>41</v>
      </c>
      <c r="B44" t="s">
        <v>23</v>
      </c>
      <c r="C44" t="str">
        <f t="shared" si="1"/>
        <v>Estiba por contenedor|Campo definitivo</v>
      </c>
      <c r="D44" s="5">
        <f>IF(TABLERO!$B$1="Invierno",SUM(INDEX(PARAM_AVANCE_INVIERNO!$C$4:$H$63, MATCH(C44, PARAM_AVANCE_INVIERNO!$I$4:$I$63,0), 1):INDEX(PARAM_AVANCE_INVIERNO!$C$4:$H$63, MATCH(C44, PARAM_AVANCE_INVIERNO!$I$4:$I$63,0), TABLERO!$B$4)),SUM(INDEX(PARAM_AVANCE_VERANO!$C$4:$H$63, MATCH(C44, PARAM_AVANCE_VERANO!$I$4:$I$63,0), 1):INDEX(PARAM_AVANCE_VERANO!$C$4:$H$63, MATCH(C44, PARAM_AVANCE_VERANO!$I$4:$I$63,0), TABLERO!$B$4)))</f>
        <v>0</v>
      </c>
    </row>
    <row r="45" spans="1:4" x14ac:dyDescent="0.35">
      <c r="A45" t="s">
        <v>41</v>
      </c>
      <c r="B45" t="s">
        <v>24</v>
      </c>
      <c r="C45" t="str">
        <f t="shared" si="1"/>
        <v>Estiba por contenedor|Packing</v>
      </c>
      <c r="D45" s="5">
        <f>IF(TABLERO!$B$1="Invierno",SUM(INDEX(PARAM_AVANCE_INVIERNO!$C$4:$H$63, MATCH(C45, PARAM_AVANCE_INVIERNO!$I$4:$I$63,0), 1):INDEX(PARAM_AVANCE_INVIERNO!$C$4:$H$63, MATCH(C45, PARAM_AVANCE_INVIERNO!$I$4:$I$63,0), TABLERO!$B$4)),SUM(INDEX(PARAM_AVANCE_VERANO!$C$4:$H$63, MATCH(C45, PARAM_AVANCE_VERANO!$I$4:$I$63,0), 1):INDEX(PARAM_AVANCE_VERANO!$C$4:$H$63, MATCH(C45, PARAM_AVANCE_VERANO!$I$4:$I$63,0), TABLERO!$B$4)))</f>
        <v>1</v>
      </c>
    </row>
    <row r="46" spans="1:4" x14ac:dyDescent="0.35">
      <c r="A46" t="s">
        <v>42</v>
      </c>
      <c r="B46" t="s">
        <v>22</v>
      </c>
      <c r="C46" t="str">
        <f t="shared" si="1"/>
        <v>Gas Montacargas|Almácigo</v>
      </c>
      <c r="D46" s="5">
        <f>IF(TABLERO!$B$1="Invierno",SUM(INDEX(PARAM_AVANCE_INVIERNO!$C$4:$H$63, MATCH(C46, PARAM_AVANCE_INVIERNO!$I$4:$I$63,0), 1):INDEX(PARAM_AVANCE_INVIERNO!$C$4:$H$63, MATCH(C46, PARAM_AVANCE_INVIERNO!$I$4:$I$63,0), TABLERO!$B$4)),SUM(INDEX(PARAM_AVANCE_VERANO!$C$4:$H$63, MATCH(C46, PARAM_AVANCE_VERANO!$I$4:$I$63,0), 1):INDEX(PARAM_AVANCE_VERANO!$C$4:$H$63, MATCH(C46, PARAM_AVANCE_VERANO!$I$4:$I$63,0), TABLERO!$B$4)))</f>
        <v>0</v>
      </c>
    </row>
    <row r="47" spans="1:4" x14ac:dyDescent="0.35">
      <c r="A47" t="s">
        <v>42</v>
      </c>
      <c r="B47" t="s">
        <v>23</v>
      </c>
      <c r="C47" t="str">
        <f t="shared" si="1"/>
        <v>Gas Montacargas|Campo definitivo</v>
      </c>
      <c r="D47" s="5">
        <f>IF(TABLERO!$B$1="Invierno",SUM(INDEX(PARAM_AVANCE_INVIERNO!$C$4:$H$63, MATCH(C47, PARAM_AVANCE_INVIERNO!$I$4:$I$63,0), 1):INDEX(PARAM_AVANCE_INVIERNO!$C$4:$H$63, MATCH(C47, PARAM_AVANCE_INVIERNO!$I$4:$I$63,0), TABLERO!$B$4)),SUM(INDEX(PARAM_AVANCE_VERANO!$C$4:$H$63, MATCH(C47, PARAM_AVANCE_VERANO!$I$4:$I$63,0), 1):INDEX(PARAM_AVANCE_VERANO!$C$4:$H$63, MATCH(C47, PARAM_AVANCE_VERANO!$I$4:$I$63,0), TABLERO!$B$4)))</f>
        <v>0</v>
      </c>
    </row>
    <row r="48" spans="1:4" x14ac:dyDescent="0.35">
      <c r="A48" t="s">
        <v>42</v>
      </c>
      <c r="B48" t="s">
        <v>24</v>
      </c>
      <c r="C48" t="str">
        <f t="shared" si="1"/>
        <v>Gas Montacargas|Packing</v>
      </c>
      <c r="D48" s="5">
        <f>IF(TABLERO!$B$1="Invierno",SUM(INDEX(PARAM_AVANCE_INVIERNO!$C$4:$H$63, MATCH(C48, PARAM_AVANCE_INVIERNO!$I$4:$I$63,0), 1):INDEX(PARAM_AVANCE_INVIERNO!$C$4:$H$63, MATCH(C48, PARAM_AVANCE_INVIERNO!$I$4:$I$63,0), TABLERO!$B$4)),SUM(INDEX(PARAM_AVANCE_VERANO!$C$4:$H$63, MATCH(C48, PARAM_AVANCE_VERANO!$I$4:$I$63,0), 1):INDEX(PARAM_AVANCE_VERANO!$C$4:$H$63, MATCH(C48, PARAM_AVANCE_VERANO!$I$4:$I$63,0), TABLERO!$B$4)))</f>
        <v>1</v>
      </c>
    </row>
    <row r="49" spans="1:4" x14ac:dyDescent="0.35">
      <c r="A49" t="s">
        <v>43</v>
      </c>
      <c r="B49" t="s">
        <v>22</v>
      </c>
      <c r="C49" t="str">
        <f t="shared" si="1"/>
        <v>Energía Packing|Almácigo</v>
      </c>
      <c r="D49" s="5">
        <f>IF(TABLERO!$B$1="Invierno",SUM(INDEX(PARAM_AVANCE_INVIERNO!$C$4:$H$63, MATCH(C49, PARAM_AVANCE_INVIERNO!$I$4:$I$63,0), 1):INDEX(PARAM_AVANCE_INVIERNO!$C$4:$H$63, MATCH(C49, PARAM_AVANCE_INVIERNO!$I$4:$I$63,0), TABLERO!$B$4)),SUM(INDEX(PARAM_AVANCE_VERANO!$C$4:$H$63, MATCH(C49, PARAM_AVANCE_VERANO!$I$4:$I$63,0), 1):INDEX(PARAM_AVANCE_VERANO!$C$4:$H$63, MATCH(C49, PARAM_AVANCE_VERANO!$I$4:$I$63,0), TABLERO!$B$4)))</f>
        <v>0</v>
      </c>
    </row>
    <row r="50" spans="1:4" x14ac:dyDescent="0.35">
      <c r="A50" t="s">
        <v>43</v>
      </c>
      <c r="B50" t="s">
        <v>23</v>
      </c>
      <c r="C50" t="str">
        <f t="shared" si="1"/>
        <v>Energía Packing|Campo definitivo</v>
      </c>
      <c r="D50" s="5">
        <f>IF(TABLERO!$B$1="Invierno",SUM(INDEX(PARAM_AVANCE_INVIERNO!$C$4:$H$63, MATCH(C50, PARAM_AVANCE_INVIERNO!$I$4:$I$63,0), 1):INDEX(PARAM_AVANCE_INVIERNO!$C$4:$H$63, MATCH(C50, PARAM_AVANCE_INVIERNO!$I$4:$I$63,0), TABLERO!$B$4)),SUM(INDEX(PARAM_AVANCE_VERANO!$C$4:$H$63, MATCH(C50, PARAM_AVANCE_VERANO!$I$4:$I$63,0), 1):INDEX(PARAM_AVANCE_VERANO!$C$4:$H$63, MATCH(C50, PARAM_AVANCE_VERANO!$I$4:$I$63,0), TABLERO!$B$4)))</f>
        <v>0</v>
      </c>
    </row>
    <row r="51" spans="1:4" x14ac:dyDescent="0.35">
      <c r="A51" t="s">
        <v>43</v>
      </c>
      <c r="B51" t="s">
        <v>24</v>
      </c>
      <c r="C51" t="str">
        <f t="shared" si="1"/>
        <v>Energía Packing|Packing</v>
      </c>
      <c r="D51" s="5">
        <f>IF(TABLERO!$B$1="Invierno",SUM(INDEX(PARAM_AVANCE_INVIERNO!$C$4:$H$63, MATCH(C51, PARAM_AVANCE_INVIERNO!$I$4:$I$63,0), 1):INDEX(PARAM_AVANCE_INVIERNO!$C$4:$H$63, MATCH(C51, PARAM_AVANCE_INVIERNO!$I$4:$I$63,0), TABLERO!$B$4)),SUM(INDEX(PARAM_AVANCE_VERANO!$C$4:$H$63, MATCH(C51, PARAM_AVANCE_VERANO!$I$4:$I$63,0), 1):INDEX(PARAM_AVANCE_VERANO!$C$4:$H$63, MATCH(C51, PARAM_AVANCE_VERANO!$I$4:$I$63,0), TABLERO!$B$4)))</f>
        <v>1</v>
      </c>
    </row>
    <row r="52" spans="1:4" x14ac:dyDescent="0.35">
      <c r="A52" t="s">
        <v>44</v>
      </c>
      <c r="B52" t="s">
        <v>22</v>
      </c>
      <c r="C52" t="str">
        <f t="shared" si="1"/>
        <v>Depreciaciones|Almácigo</v>
      </c>
      <c r="D52" s="5">
        <f>IF(TABLERO!$B$1="Invierno",SUM(INDEX(PARAM_AVANCE_INVIERNO!$C$4:$H$63, MATCH(C52, PARAM_AVANCE_INVIERNO!$I$4:$I$63,0), 1):INDEX(PARAM_AVANCE_INVIERNO!$C$4:$H$63, MATCH(C52, PARAM_AVANCE_INVIERNO!$I$4:$I$63,0), TABLERO!$B$4)),SUM(INDEX(PARAM_AVANCE_VERANO!$C$4:$H$63, MATCH(C52, PARAM_AVANCE_VERANO!$I$4:$I$63,0), 1):INDEX(PARAM_AVANCE_VERANO!$C$4:$H$63, MATCH(C52, PARAM_AVANCE_VERANO!$I$4:$I$63,0), TABLERO!$B$4)))</f>
        <v>0</v>
      </c>
    </row>
    <row r="53" spans="1:4" x14ac:dyDescent="0.35">
      <c r="A53" t="s">
        <v>44</v>
      </c>
      <c r="B53" t="s">
        <v>23</v>
      </c>
      <c r="C53" t="str">
        <f t="shared" si="1"/>
        <v>Depreciaciones|Campo definitivo</v>
      </c>
      <c r="D53" s="5">
        <f>IF(TABLERO!$B$1="Invierno",SUM(INDEX(PARAM_AVANCE_INVIERNO!$C$4:$H$63, MATCH(C53, PARAM_AVANCE_INVIERNO!$I$4:$I$63,0), 1):INDEX(PARAM_AVANCE_INVIERNO!$C$4:$H$63, MATCH(C53, PARAM_AVANCE_INVIERNO!$I$4:$I$63,0), TABLERO!$B$4)),SUM(INDEX(PARAM_AVANCE_VERANO!$C$4:$H$63, MATCH(C53, PARAM_AVANCE_VERANO!$I$4:$I$63,0), 1):INDEX(PARAM_AVANCE_VERANO!$C$4:$H$63, MATCH(C53, PARAM_AVANCE_VERANO!$I$4:$I$63,0), TABLERO!$B$4)))</f>
        <v>0</v>
      </c>
    </row>
    <row r="54" spans="1:4" x14ac:dyDescent="0.35">
      <c r="A54" t="s">
        <v>44</v>
      </c>
      <c r="B54" t="s">
        <v>24</v>
      </c>
      <c r="C54" t="str">
        <f t="shared" si="1"/>
        <v>Depreciaciones|Packing</v>
      </c>
      <c r="D54" s="5">
        <f>IF(TABLERO!$B$1="Invierno",SUM(INDEX(PARAM_AVANCE_INVIERNO!$C$4:$H$63, MATCH(C54, PARAM_AVANCE_INVIERNO!$I$4:$I$63,0), 1):INDEX(PARAM_AVANCE_INVIERNO!$C$4:$H$63, MATCH(C54, PARAM_AVANCE_INVIERNO!$I$4:$I$63,0), TABLERO!$B$4)),SUM(INDEX(PARAM_AVANCE_VERANO!$C$4:$H$63, MATCH(C54, PARAM_AVANCE_VERANO!$I$4:$I$63,0), 1):INDEX(PARAM_AVANCE_VERANO!$C$4:$H$63, MATCH(C54, PARAM_AVANCE_VERANO!$I$4:$I$63,0), TABLERO!$B$4)))</f>
        <v>0</v>
      </c>
    </row>
    <row r="55" spans="1:4" x14ac:dyDescent="0.35">
      <c r="A55" t="s">
        <v>45</v>
      </c>
      <c r="B55" t="s">
        <v>22</v>
      </c>
      <c r="C55" t="str">
        <f t="shared" si="1"/>
        <v>MANTENIMIENTO Y REPARACION|Almácigo</v>
      </c>
      <c r="D55" s="5">
        <f>IF(TABLERO!$B$1="Invierno",SUM(INDEX(PARAM_AVANCE_INVIERNO!$C$4:$H$63, MATCH(C55, PARAM_AVANCE_INVIERNO!$I$4:$I$63,0), 1):INDEX(PARAM_AVANCE_INVIERNO!$C$4:$H$63, MATCH(C55, PARAM_AVANCE_INVIERNO!$I$4:$I$63,0), TABLERO!$B$4)),SUM(INDEX(PARAM_AVANCE_VERANO!$C$4:$H$63, MATCH(C55, PARAM_AVANCE_VERANO!$I$4:$I$63,0), 1):INDEX(PARAM_AVANCE_VERANO!$C$4:$H$63, MATCH(C55, PARAM_AVANCE_VERANO!$I$4:$I$63,0), TABLERO!$B$4)))</f>
        <v>0</v>
      </c>
    </row>
    <row r="56" spans="1:4" x14ac:dyDescent="0.35">
      <c r="A56" t="s">
        <v>45</v>
      </c>
      <c r="B56" t="s">
        <v>23</v>
      </c>
      <c r="C56" t="str">
        <f t="shared" si="1"/>
        <v>MANTENIMIENTO Y REPARACION|Campo definitivo</v>
      </c>
      <c r="D56" s="5">
        <f>IF(TABLERO!$B$1="Invierno",SUM(INDEX(PARAM_AVANCE_INVIERNO!$C$4:$H$63, MATCH(C56, PARAM_AVANCE_INVIERNO!$I$4:$I$63,0), 1):INDEX(PARAM_AVANCE_INVIERNO!$C$4:$H$63, MATCH(C56, PARAM_AVANCE_INVIERNO!$I$4:$I$63,0), TABLERO!$B$4)),SUM(INDEX(PARAM_AVANCE_VERANO!$C$4:$H$63, MATCH(C56, PARAM_AVANCE_VERANO!$I$4:$I$63,0), 1):INDEX(PARAM_AVANCE_VERANO!$C$4:$H$63, MATCH(C56, PARAM_AVANCE_VERANO!$I$4:$I$63,0), TABLERO!$B$4)))</f>
        <v>0</v>
      </c>
    </row>
    <row r="57" spans="1:4" x14ac:dyDescent="0.35">
      <c r="A57" t="s">
        <v>45</v>
      </c>
      <c r="B57" t="s">
        <v>24</v>
      </c>
      <c r="C57" t="str">
        <f t="shared" si="1"/>
        <v>MANTENIMIENTO Y REPARACION|Packing</v>
      </c>
      <c r="D57" s="5">
        <f>IF(TABLERO!$B$1="Invierno",SUM(INDEX(PARAM_AVANCE_INVIERNO!$C$4:$H$63, MATCH(C57, PARAM_AVANCE_INVIERNO!$I$4:$I$63,0), 1):INDEX(PARAM_AVANCE_INVIERNO!$C$4:$H$63, MATCH(C57, PARAM_AVANCE_INVIERNO!$I$4:$I$63,0), TABLERO!$B$4)),SUM(INDEX(PARAM_AVANCE_VERANO!$C$4:$H$63, MATCH(C57, PARAM_AVANCE_VERANO!$I$4:$I$63,0), 1):INDEX(PARAM_AVANCE_VERANO!$C$4:$H$63, MATCH(C57, PARAM_AVANCE_VERANO!$I$4:$I$63,0), TABLERO!$B$4)))</f>
        <v>0</v>
      </c>
    </row>
    <row r="58" spans="1:4" x14ac:dyDescent="0.35">
      <c r="A58" t="s">
        <v>46</v>
      </c>
      <c r="B58" t="s">
        <v>22</v>
      </c>
      <c r="C58" t="str">
        <f t="shared" si="1"/>
        <v>SUMINISTROS|Almácigo</v>
      </c>
      <c r="D58" s="5">
        <f>IF(TABLERO!$B$1="Invierno",SUM(INDEX(PARAM_AVANCE_INVIERNO!$C$4:$H$63, MATCH(C58, PARAM_AVANCE_INVIERNO!$I$4:$I$63,0), 1):INDEX(PARAM_AVANCE_INVIERNO!$C$4:$H$63, MATCH(C58, PARAM_AVANCE_INVIERNO!$I$4:$I$63,0), TABLERO!$B$4)),SUM(INDEX(PARAM_AVANCE_VERANO!$C$4:$H$63, MATCH(C58, PARAM_AVANCE_VERANO!$I$4:$I$63,0), 1):INDEX(PARAM_AVANCE_VERANO!$C$4:$H$63, MATCH(C58, PARAM_AVANCE_VERANO!$I$4:$I$63,0), TABLERO!$B$4)))</f>
        <v>0</v>
      </c>
    </row>
    <row r="59" spans="1:4" x14ac:dyDescent="0.35">
      <c r="A59" t="s">
        <v>46</v>
      </c>
      <c r="B59" t="s">
        <v>23</v>
      </c>
      <c r="C59" t="str">
        <f t="shared" si="1"/>
        <v>SUMINISTROS|Campo definitivo</v>
      </c>
      <c r="D59" s="5">
        <f>IF(TABLERO!$B$1="Invierno",SUM(INDEX(PARAM_AVANCE_INVIERNO!$C$4:$H$63, MATCH(C59, PARAM_AVANCE_INVIERNO!$I$4:$I$63,0), 1):INDEX(PARAM_AVANCE_INVIERNO!$C$4:$H$63, MATCH(C59, PARAM_AVANCE_INVIERNO!$I$4:$I$63,0), TABLERO!$B$4)),SUM(INDEX(PARAM_AVANCE_VERANO!$C$4:$H$63, MATCH(C59, PARAM_AVANCE_VERANO!$I$4:$I$63,0), 1):INDEX(PARAM_AVANCE_VERANO!$C$4:$H$63, MATCH(C59, PARAM_AVANCE_VERANO!$I$4:$I$63,0), TABLERO!$B$4)))</f>
        <v>0</v>
      </c>
    </row>
    <row r="60" spans="1:4" x14ac:dyDescent="0.35">
      <c r="A60" t="s">
        <v>46</v>
      </c>
      <c r="B60" t="s">
        <v>24</v>
      </c>
      <c r="C60" t="str">
        <f t="shared" si="1"/>
        <v>SUMINISTROS|Packing</v>
      </c>
      <c r="D60" s="5">
        <f>IF(TABLERO!$B$1="Invierno",SUM(INDEX(PARAM_AVANCE_INVIERNO!$C$4:$H$63, MATCH(C60, PARAM_AVANCE_INVIERNO!$I$4:$I$63,0), 1):INDEX(PARAM_AVANCE_INVIERNO!$C$4:$H$63, MATCH(C60, PARAM_AVANCE_INVIERNO!$I$4:$I$63,0), TABLERO!$B$4)),SUM(INDEX(PARAM_AVANCE_VERANO!$C$4:$H$63, MATCH(C60, PARAM_AVANCE_VERANO!$I$4:$I$63,0), 1):INDEX(PARAM_AVANCE_VERANO!$C$4:$H$63, MATCH(C60, PARAM_AVANCE_VERANO!$I$4:$I$63,0), TABLERO!$B$4)))</f>
        <v>0</v>
      </c>
    </row>
    <row r="61" spans="1:4" x14ac:dyDescent="0.35">
      <c r="A61" t="s">
        <v>47</v>
      </c>
      <c r="B61" t="s">
        <v>22</v>
      </c>
      <c r="C61" t="str">
        <f t="shared" si="1"/>
        <v>VARIOS|Almácigo</v>
      </c>
      <c r="D61" s="5">
        <f>IF(TABLERO!$B$1="Invierno",SUM(INDEX(PARAM_AVANCE_INVIERNO!$C$4:$H$63, MATCH(C61, PARAM_AVANCE_INVIERNO!$I$4:$I$63,0), 1):INDEX(PARAM_AVANCE_INVIERNO!$C$4:$H$63, MATCH(C61, PARAM_AVANCE_INVIERNO!$I$4:$I$63,0), TABLERO!$B$4)),SUM(INDEX(PARAM_AVANCE_VERANO!$C$4:$H$63, MATCH(C61, PARAM_AVANCE_VERANO!$I$4:$I$63,0), 1):INDEX(PARAM_AVANCE_VERANO!$C$4:$H$63, MATCH(C61, PARAM_AVANCE_VERANO!$I$4:$I$63,0), TABLERO!$B$4)))</f>
        <v>0</v>
      </c>
    </row>
    <row r="62" spans="1:4" x14ac:dyDescent="0.35">
      <c r="A62" t="s">
        <v>47</v>
      </c>
      <c r="B62" t="s">
        <v>23</v>
      </c>
      <c r="C62" t="str">
        <f t="shared" si="1"/>
        <v>VARIOS|Campo definitivo</v>
      </c>
      <c r="D62" s="5">
        <f>IF(TABLERO!$B$1="Invierno",SUM(INDEX(PARAM_AVANCE_INVIERNO!$C$4:$H$63, MATCH(C62, PARAM_AVANCE_INVIERNO!$I$4:$I$63,0), 1):INDEX(PARAM_AVANCE_INVIERNO!$C$4:$H$63, MATCH(C62, PARAM_AVANCE_INVIERNO!$I$4:$I$63,0), TABLERO!$B$4)),SUM(INDEX(PARAM_AVANCE_VERANO!$C$4:$H$63, MATCH(C62, PARAM_AVANCE_VERANO!$I$4:$I$63,0), 1):INDEX(PARAM_AVANCE_VERANO!$C$4:$H$63, MATCH(C62, PARAM_AVANCE_VERANO!$I$4:$I$63,0), TABLERO!$B$4)))</f>
        <v>0</v>
      </c>
    </row>
    <row r="63" spans="1:4" x14ac:dyDescent="0.35">
      <c r="A63" t="s">
        <v>47</v>
      </c>
      <c r="B63" t="s">
        <v>24</v>
      </c>
      <c r="C63" t="str">
        <f t="shared" si="1"/>
        <v>VARIOS|Packing</v>
      </c>
      <c r="D63" s="5">
        <f>IF(TABLERO!$B$1="Invierno",SUM(INDEX(PARAM_AVANCE_INVIERNO!$C$4:$H$63, MATCH(C63, PARAM_AVANCE_INVIERNO!$I$4:$I$63,0), 1):INDEX(PARAM_AVANCE_INVIERNO!$C$4:$H$63, MATCH(C63, PARAM_AVANCE_INVIERNO!$I$4:$I$63,0), TABLERO!$B$4)),SUM(INDEX(PARAM_AVANCE_VERANO!$C$4:$H$63, MATCH(C63, PARAM_AVANCE_VERANO!$I$4:$I$63,0), 1):INDEX(PARAM_AVANCE_VERANO!$C$4:$H$63, MATCH(C63, PARAM_AVANCE_VERANO!$I$4:$I$63,0), TABLERO!$B$4)))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4"/>
  <sheetViews>
    <sheetView zoomScale="60" zoomScaleNormal="60" workbookViewId="0">
      <selection activeCell="B4" sqref="B4"/>
    </sheetView>
  </sheetViews>
  <sheetFormatPr baseColWidth="10" defaultColWidth="8.7265625" defaultRowHeight="14.5" x14ac:dyDescent="0.35"/>
  <cols>
    <col min="1" max="1" width="24.90625" customWidth="1"/>
    <col min="2" max="15" width="10.7265625" style="6" customWidth="1"/>
  </cols>
  <sheetData>
    <row r="1" spans="1:15" ht="15.5" x14ac:dyDescent="0.35">
      <c r="A1" s="3" t="s">
        <v>54</v>
      </c>
    </row>
    <row r="3" spans="1:15" ht="58" x14ac:dyDescent="0.35">
      <c r="A3" s="1" t="s">
        <v>21</v>
      </c>
      <c r="B3" s="8" t="s">
        <v>55</v>
      </c>
      <c r="C3" s="8" t="s">
        <v>56</v>
      </c>
      <c r="D3" s="8" t="s">
        <v>57</v>
      </c>
      <c r="E3" s="8" t="s">
        <v>58</v>
      </c>
      <c r="F3" s="8" t="s">
        <v>59</v>
      </c>
      <c r="G3" s="8" t="s">
        <v>60</v>
      </c>
      <c r="H3" s="8" t="s">
        <v>61</v>
      </c>
      <c r="I3" s="8" t="s">
        <v>62</v>
      </c>
      <c r="J3" s="8" t="s">
        <v>63</v>
      </c>
      <c r="K3" s="8" t="s">
        <v>64</v>
      </c>
      <c r="L3" s="8" t="s">
        <v>65</v>
      </c>
      <c r="M3" s="8" t="s">
        <v>66</v>
      </c>
      <c r="N3" s="8" t="s">
        <v>67</v>
      </c>
      <c r="O3" s="8" t="s">
        <v>68</v>
      </c>
    </row>
    <row r="4" spans="1:15" x14ac:dyDescent="0.35">
      <c r="A4" t="s">
        <v>28</v>
      </c>
      <c r="B4" s="6">
        <f>PRESUPUESTO_BASE!B4/2</f>
        <v>273006.5</v>
      </c>
      <c r="D4" s="6" cm="1">
        <f t="array" ref="D4">B4*_xlfn.XLOOKUP(A4&amp;"|"&amp;"Almácigo", SELECTOR!$C$4:$C$63, SELECTOR!$D$4:$D$63)</f>
        <v>273006.5</v>
      </c>
      <c r="E4" s="6">
        <f>PRESUPUESTO_BASE!C4/2</f>
        <v>0</v>
      </c>
      <c r="G4" s="6" cm="1">
        <f t="array" ref="G4">E4*_xlfn.XLOOKUP(A4&amp;"|"&amp;"Campo definitivo", SELECTOR!$C$4:$C$63, SELECTOR!$D$4:$D$63)</f>
        <v>0</v>
      </c>
      <c r="H4" s="6">
        <f>PRESUPUESTO_BASE!D4/2</f>
        <v>0</v>
      </c>
      <c r="J4" s="6" cm="1">
        <f t="array" ref="J4">H4*_xlfn.XLOOKUP(A4&amp;"|"&amp;"Packing", SELECTOR!$C$4:$C$63, SELECTOR!$D$4:$D$63)</f>
        <v>0</v>
      </c>
      <c r="K4" s="6">
        <f t="shared" ref="K4:K23" si="0">B4+E4+H4</f>
        <v>273006.5</v>
      </c>
      <c r="L4" s="6">
        <f t="shared" ref="L4:L23" si="1">C4+F4+I4</f>
        <v>0</v>
      </c>
      <c r="M4" s="6">
        <f t="shared" ref="M4:M23" si="2">D4+G4+J4</f>
        <v>273006.5</v>
      </c>
      <c r="N4" s="6">
        <f t="shared" ref="N4:N23" si="3">L4-M4</f>
        <v>-273006.5</v>
      </c>
      <c r="O4" s="6">
        <f t="shared" ref="O4:O23" si="4">IF(M4=0,0,(L4/M4)-1)</f>
        <v>-1</v>
      </c>
    </row>
    <row r="5" spans="1:15" x14ac:dyDescent="0.35">
      <c r="A5" t="s">
        <v>29</v>
      </c>
      <c r="B5" s="6">
        <f>PRESUPUESTO_BASE!B5/2</f>
        <v>0</v>
      </c>
      <c r="D5" s="6" cm="1">
        <f t="array" ref="D5">B5*_xlfn.XLOOKUP(A5&amp;"|"&amp;"Almácigo", SELECTOR!$C$4:$C$63, SELECTOR!$D$4:$D$63)</f>
        <v>0</v>
      </c>
      <c r="E5" s="6">
        <f>PRESUPUESTO_BASE!C5/2</f>
        <v>376142</v>
      </c>
      <c r="G5" s="6" cm="1">
        <f t="array" ref="G5">E5*_xlfn.XLOOKUP(A5&amp;"|"&amp;"Campo definitivo", SELECTOR!$C$4:$C$63, SELECTOR!$D$4:$D$63)</f>
        <v>376142.00000000006</v>
      </c>
      <c r="H5" s="6">
        <f>PRESUPUESTO_BASE!D5/2</f>
        <v>0</v>
      </c>
      <c r="J5" s="6" cm="1">
        <f t="array" ref="J5">H5*_xlfn.XLOOKUP(A5&amp;"|"&amp;"Packing", SELECTOR!$C$4:$C$63, SELECTOR!$D$4:$D$63)</f>
        <v>0</v>
      </c>
      <c r="K5" s="6">
        <f t="shared" si="0"/>
        <v>376142</v>
      </c>
      <c r="L5" s="6">
        <f t="shared" si="1"/>
        <v>0</v>
      </c>
      <c r="M5" s="6">
        <f t="shared" si="2"/>
        <v>376142.00000000006</v>
      </c>
      <c r="N5" s="6">
        <f t="shared" si="3"/>
        <v>-376142.00000000006</v>
      </c>
      <c r="O5" s="6">
        <f t="shared" si="4"/>
        <v>-1</v>
      </c>
    </row>
    <row r="6" spans="1:15" x14ac:dyDescent="0.35">
      <c r="A6" t="s">
        <v>30</v>
      </c>
      <c r="B6" s="6">
        <f>PRESUPUESTO_BASE!B6/2</f>
        <v>0</v>
      </c>
      <c r="D6" s="6" cm="1">
        <f t="array" ref="D6">B6*_xlfn.XLOOKUP(A6&amp;"|"&amp;"Almácigo", SELECTOR!$C$4:$C$63, SELECTOR!$D$4:$D$63)</f>
        <v>0</v>
      </c>
      <c r="E6" s="6">
        <f>PRESUPUESTO_BASE!C6/2</f>
        <v>109408.5</v>
      </c>
      <c r="G6" s="6" cm="1">
        <f t="array" ref="G6">E6*_xlfn.XLOOKUP(A6&amp;"|"&amp;"Campo definitivo", SELECTOR!$C$4:$C$63, SELECTOR!$D$4:$D$63)</f>
        <v>109408.50000000003</v>
      </c>
      <c r="H6" s="6">
        <f>PRESUPUESTO_BASE!D6/2</f>
        <v>0</v>
      </c>
      <c r="J6" s="6" cm="1">
        <f t="array" ref="J6">H6*_xlfn.XLOOKUP(A6&amp;"|"&amp;"Packing", SELECTOR!$C$4:$C$63, SELECTOR!$D$4:$D$63)</f>
        <v>0</v>
      </c>
      <c r="K6" s="6">
        <f t="shared" si="0"/>
        <v>109408.5</v>
      </c>
      <c r="L6" s="6">
        <f t="shared" si="1"/>
        <v>0</v>
      </c>
      <c r="M6" s="6">
        <f t="shared" si="2"/>
        <v>109408.50000000003</v>
      </c>
      <c r="N6" s="6">
        <f t="shared" si="3"/>
        <v>-109408.50000000003</v>
      </c>
      <c r="O6" s="6">
        <f t="shared" si="4"/>
        <v>-1</v>
      </c>
    </row>
    <row r="7" spans="1:15" x14ac:dyDescent="0.35">
      <c r="A7" t="s">
        <v>31</v>
      </c>
      <c r="B7" s="6">
        <f>PRESUPUESTO_BASE!B7/2</f>
        <v>21337.5</v>
      </c>
      <c r="D7" s="6" cm="1">
        <f t="array" ref="D7">B7*_xlfn.XLOOKUP(A7&amp;"|"&amp;"Almácigo", SELECTOR!$C$4:$C$63, SELECTOR!$D$4:$D$63)</f>
        <v>21337.500000000004</v>
      </c>
      <c r="E7" s="6">
        <f>PRESUPUESTO_BASE!C7/2</f>
        <v>288380.5</v>
      </c>
      <c r="G7" s="6" cm="1">
        <f t="array" ref="G7">E7*_xlfn.XLOOKUP(A7&amp;"|"&amp;"Campo definitivo", SELECTOR!$C$4:$C$63, SELECTOR!$D$4:$D$63)</f>
        <v>288380.50000000006</v>
      </c>
      <c r="H7" s="6">
        <f>PRESUPUESTO_BASE!D7/2</f>
        <v>0</v>
      </c>
      <c r="J7" s="6" cm="1">
        <f t="array" ref="J7">H7*_xlfn.XLOOKUP(A7&amp;"|"&amp;"Packing", SELECTOR!$C$4:$C$63, SELECTOR!$D$4:$D$63)</f>
        <v>0</v>
      </c>
      <c r="K7" s="6">
        <f t="shared" si="0"/>
        <v>309718</v>
      </c>
      <c r="L7" s="6">
        <f t="shared" si="1"/>
        <v>0</v>
      </c>
      <c r="M7" s="6">
        <f t="shared" si="2"/>
        <v>309718.00000000006</v>
      </c>
      <c r="N7" s="6">
        <f t="shared" si="3"/>
        <v>-309718.00000000006</v>
      </c>
      <c r="O7" s="6">
        <f t="shared" si="4"/>
        <v>-1</v>
      </c>
    </row>
    <row r="8" spans="1:15" x14ac:dyDescent="0.35">
      <c r="A8" t="s">
        <v>32</v>
      </c>
      <c r="B8" s="6">
        <f>PRESUPUESTO_BASE!B8/2</f>
        <v>18134</v>
      </c>
      <c r="D8" s="6" cm="1">
        <f t="array" ref="D8">B8*_xlfn.XLOOKUP(A8&amp;"|"&amp;"Almácigo", SELECTOR!$C$4:$C$63, SELECTOR!$D$4:$D$63)</f>
        <v>18134.000000000004</v>
      </c>
      <c r="E8" s="6">
        <f>PRESUPUESTO_BASE!C8/2</f>
        <v>227529</v>
      </c>
      <c r="G8" s="6" cm="1">
        <f t="array" ref="G8">E8*_xlfn.XLOOKUP(A8&amp;"|"&amp;"Campo definitivo", SELECTOR!$C$4:$C$63, SELECTOR!$D$4:$D$63)</f>
        <v>227528.99999999997</v>
      </c>
      <c r="H8" s="6">
        <f>PRESUPUESTO_BASE!D8/2</f>
        <v>0</v>
      </c>
      <c r="J8" s="6" cm="1">
        <f t="array" ref="J8">H8*_xlfn.XLOOKUP(A8&amp;"|"&amp;"Packing", SELECTOR!$C$4:$C$63, SELECTOR!$D$4:$D$63)</f>
        <v>0</v>
      </c>
      <c r="K8" s="6">
        <f t="shared" si="0"/>
        <v>245663</v>
      </c>
      <c r="L8" s="6">
        <f t="shared" si="1"/>
        <v>0</v>
      </c>
      <c r="M8" s="6">
        <f t="shared" si="2"/>
        <v>245662.99999999997</v>
      </c>
      <c r="N8" s="6">
        <f t="shared" si="3"/>
        <v>-245662.99999999997</v>
      </c>
      <c r="O8" s="6">
        <f t="shared" si="4"/>
        <v>-1</v>
      </c>
    </row>
    <row r="9" spans="1:15" x14ac:dyDescent="0.35">
      <c r="A9" t="s">
        <v>33</v>
      </c>
      <c r="B9" s="6">
        <f>PRESUPUESTO_BASE!B9/2</f>
        <v>6994.5</v>
      </c>
      <c r="D9" s="6" cm="1">
        <f t="array" ref="D9">B9*_xlfn.XLOOKUP(A9&amp;"|"&amp;"Almácigo", SELECTOR!$C$4:$C$63, SELECTOR!$D$4:$D$63)</f>
        <v>6994.5000000000018</v>
      </c>
      <c r="E9" s="6">
        <f>PRESUPUESTO_BASE!C9/2</f>
        <v>157129</v>
      </c>
      <c r="G9" s="6" cm="1">
        <f t="array" ref="G9">E9*_xlfn.XLOOKUP(A9&amp;"|"&amp;"Campo definitivo", SELECTOR!$C$4:$C$63, SELECTOR!$D$4:$D$63)</f>
        <v>157129.00000000003</v>
      </c>
      <c r="H9" s="6">
        <f>PRESUPUESTO_BASE!D9/2</f>
        <v>0</v>
      </c>
      <c r="J9" s="6" cm="1">
        <f t="array" ref="J9">H9*_xlfn.XLOOKUP(A9&amp;"|"&amp;"Packing", SELECTOR!$C$4:$C$63, SELECTOR!$D$4:$D$63)</f>
        <v>0</v>
      </c>
      <c r="K9" s="6">
        <f t="shared" si="0"/>
        <v>164123.5</v>
      </c>
      <c r="L9" s="6">
        <f t="shared" si="1"/>
        <v>0</v>
      </c>
      <c r="M9" s="6">
        <f t="shared" si="2"/>
        <v>164123.50000000003</v>
      </c>
      <c r="N9" s="6">
        <f t="shared" si="3"/>
        <v>-164123.50000000003</v>
      </c>
      <c r="O9" s="6">
        <f t="shared" si="4"/>
        <v>-1</v>
      </c>
    </row>
    <row r="10" spans="1:15" x14ac:dyDescent="0.35">
      <c r="A10" t="s">
        <v>34</v>
      </c>
      <c r="B10" s="6">
        <f>PRESUPUESTO_BASE!B10/2</f>
        <v>25902</v>
      </c>
      <c r="D10" s="6" cm="1">
        <f t="array" ref="D10">B10*_xlfn.XLOOKUP(A10&amp;"|"&amp;"Almácigo", SELECTOR!$C$4:$C$63, SELECTOR!$D$4:$D$63)</f>
        <v>25902.000000000007</v>
      </c>
      <c r="E10" s="6">
        <f>PRESUPUESTO_BASE!C10/2</f>
        <v>402010.5</v>
      </c>
      <c r="G10" s="6" cm="1">
        <f t="array" ref="G10">E10*_xlfn.XLOOKUP(A10&amp;"|"&amp;"Campo definitivo", SELECTOR!$C$4:$C$63, SELECTOR!$D$4:$D$63)</f>
        <v>402010.5</v>
      </c>
      <c r="H10" s="6">
        <f>PRESUPUESTO_BASE!D10/2</f>
        <v>0</v>
      </c>
      <c r="J10" s="6" cm="1">
        <f t="array" ref="J10">H10*_xlfn.XLOOKUP(A10&amp;"|"&amp;"Packing", SELECTOR!$C$4:$C$63, SELECTOR!$D$4:$D$63)</f>
        <v>0</v>
      </c>
      <c r="K10" s="6">
        <f t="shared" si="0"/>
        <v>427912.5</v>
      </c>
      <c r="L10" s="6">
        <f t="shared" si="1"/>
        <v>0</v>
      </c>
      <c r="M10" s="6">
        <f t="shared" si="2"/>
        <v>427912.5</v>
      </c>
      <c r="N10" s="6">
        <f t="shared" si="3"/>
        <v>-427912.5</v>
      </c>
      <c r="O10" s="6">
        <f t="shared" si="4"/>
        <v>-1</v>
      </c>
    </row>
    <row r="11" spans="1:15" x14ac:dyDescent="0.35">
      <c r="A11" t="s">
        <v>35</v>
      </c>
      <c r="B11" s="6">
        <f>PRESUPUESTO_BASE!B11/2</f>
        <v>14718.5</v>
      </c>
      <c r="D11" s="6" cm="1">
        <f t="array" ref="D11">B11*_xlfn.XLOOKUP(A11&amp;"|"&amp;"Almácigo", SELECTOR!$C$4:$C$63, SELECTOR!$D$4:$D$63)</f>
        <v>14718.500000000004</v>
      </c>
      <c r="E11" s="6">
        <f>PRESUPUESTO_BASE!C11/2</f>
        <v>426700</v>
      </c>
      <c r="G11" s="6" cm="1">
        <f t="array" ref="G11">E11*_xlfn.XLOOKUP(A11&amp;"|"&amp;"Campo definitivo", SELECTOR!$C$4:$C$63, SELECTOR!$D$4:$D$63)</f>
        <v>426700</v>
      </c>
      <c r="H11" s="6">
        <f>PRESUPUESTO_BASE!D11/2</f>
        <v>0</v>
      </c>
      <c r="J11" s="6" cm="1">
        <f t="array" ref="J11">H11*_xlfn.XLOOKUP(A11&amp;"|"&amp;"Packing", SELECTOR!$C$4:$C$63, SELECTOR!$D$4:$D$63)</f>
        <v>0</v>
      </c>
      <c r="K11" s="6">
        <f t="shared" si="0"/>
        <v>441418.5</v>
      </c>
      <c r="L11" s="6">
        <f t="shared" si="1"/>
        <v>0</v>
      </c>
      <c r="M11" s="6">
        <f t="shared" si="2"/>
        <v>441418.5</v>
      </c>
      <c r="N11" s="6">
        <f t="shared" si="3"/>
        <v>-441418.5</v>
      </c>
      <c r="O11" s="6">
        <f t="shared" si="4"/>
        <v>-1</v>
      </c>
    </row>
    <row r="12" spans="1:15" x14ac:dyDescent="0.35">
      <c r="A12" t="s">
        <v>36</v>
      </c>
      <c r="B12" s="6">
        <f>PRESUPUESTO_BASE!B12/2</f>
        <v>30915.5</v>
      </c>
      <c r="D12" s="6" cm="1">
        <f t="array" ref="D12">B12*_xlfn.XLOOKUP(A12&amp;"|"&amp;"Almácigo", SELECTOR!$C$4:$C$63, SELECTOR!$D$4:$D$63)</f>
        <v>30915.500000000007</v>
      </c>
      <c r="E12" s="6">
        <f>PRESUPUESTO_BASE!C12/2</f>
        <v>456560</v>
      </c>
      <c r="G12" s="6" cm="1">
        <f t="array" ref="G12">E12*_xlfn.XLOOKUP(A12&amp;"|"&amp;"Campo definitivo", SELECTOR!$C$4:$C$63, SELECTOR!$D$4:$D$63)</f>
        <v>456560</v>
      </c>
      <c r="H12" s="6">
        <f>PRESUPUESTO_BASE!D12/2</f>
        <v>160670.5</v>
      </c>
      <c r="J12" s="6" cm="1">
        <f t="array" ref="J12">H12*_xlfn.XLOOKUP(A12&amp;"|"&amp;"Packing", SELECTOR!$C$4:$C$63, SELECTOR!$D$4:$D$63)</f>
        <v>160670.50000000003</v>
      </c>
      <c r="K12" s="6">
        <f t="shared" si="0"/>
        <v>648146</v>
      </c>
      <c r="L12" s="6">
        <f t="shared" si="1"/>
        <v>0</v>
      </c>
      <c r="M12" s="6">
        <f t="shared" si="2"/>
        <v>648146</v>
      </c>
      <c r="N12" s="6">
        <f t="shared" si="3"/>
        <v>-648146</v>
      </c>
      <c r="O12" s="6">
        <f t="shared" si="4"/>
        <v>-1</v>
      </c>
    </row>
    <row r="13" spans="1:15" x14ac:dyDescent="0.35">
      <c r="A13" t="s">
        <v>37</v>
      </c>
      <c r="B13" s="6">
        <f>PRESUPUESTO_BASE!B13/2</f>
        <v>0</v>
      </c>
      <c r="D13" s="6" cm="1">
        <f t="array" ref="D13">B13*_xlfn.XLOOKUP(A13&amp;"|"&amp;"Almácigo", SELECTOR!$C$4:$C$63, SELECTOR!$D$4:$D$63)</f>
        <v>0</v>
      </c>
      <c r="E13" s="6">
        <f>PRESUPUESTO_BASE!C13/2</f>
        <v>151953</v>
      </c>
      <c r="G13" s="6" cm="1">
        <f t="array" ref="G13">E13*_xlfn.XLOOKUP(A13&amp;"|"&amp;"Campo definitivo", SELECTOR!$C$4:$C$63, SELECTOR!$D$4:$D$63)</f>
        <v>151953.00000000003</v>
      </c>
      <c r="H13" s="6">
        <f>PRESUPUESTO_BASE!D13/2</f>
        <v>5683</v>
      </c>
      <c r="J13" s="6" cm="1">
        <f t="array" ref="J13">H13*_xlfn.XLOOKUP(A13&amp;"|"&amp;"Packing", SELECTOR!$C$4:$C$63, SELECTOR!$D$4:$D$63)</f>
        <v>5683</v>
      </c>
      <c r="K13" s="6">
        <f t="shared" si="0"/>
        <v>157636</v>
      </c>
      <c r="L13" s="6">
        <f t="shared" si="1"/>
        <v>0</v>
      </c>
      <c r="M13" s="6">
        <f t="shared" si="2"/>
        <v>157636.00000000003</v>
      </c>
      <c r="N13" s="6">
        <f t="shared" si="3"/>
        <v>-157636.00000000003</v>
      </c>
      <c r="O13" s="6">
        <f t="shared" si="4"/>
        <v>-1</v>
      </c>
    </row>
    <row r="14" spans="1:15" x14ac:dyDescent="0.35">
      <c r="A14" t="s">
        <v>38</v>
      </c>
      <c r="B14" s="6">
        <f>PRESUPUESTO_BASE!B14/2</f>
        <v>0</v>
      </c>
      <c r="D14" s="6" cm="1">
        <f t="array" ref="D14">B14*_xlfn.XLOOKUP(A14&amp;"|"&amp;"Almácigo", SELECTOR!$C$4:$C$63, SELECTOR!$D$4:$D$63)</f>
        <v>0</v>
      </c>
      <c r="E14" s="6">
        <f>PRESUPUESTO_BASE!C14/2</f>
        <v>29906.5</v>
      </c>
      <c r="G14" s="6" cm="1">
        <f t="array" ref="G14">E14*_xlfn.XLOOKUP(A14&amp;"|"&amp;"Campo definitivo", SELECTOR!$C$4:$C$63, SELECTOR!$D$4:$D$63)</f>
        <v>29906.500000000007</v>
      </c>
      <c r="H14" s="6">
        <f>PRESUPUESTO_BASE!D14/2</f>
        <v>53657</v>
      </c>
      <c r="J14" s="6" cm="1">
        <f t="array" ref="J14">H14*_xlfn.XLOOKUP(A14&amp;"|"&amp;"Packing", SELECTOR!$C$4:$C$63, SELECTOR!$D$4:$D$63)</f>
        <v>53657</v>
      </c>
      <c r="K14" s="6">
        <f t="shared" si="0"/>
        <v>83563.5</v>
      </c>
      <c r="L14" s="6">
        <f t="shared" si="1"/>
        <v>0</v>
      </c>
      <c r="M14" s="6">
        <f t="shared" si="2"/>
        <v>83563.5</v>
      </c>
      <c r="N14" s="6">
        <f t="shared" si="3"/>
        <v>-83563.5</v>
      </c>
      <c r="O14" s="6">
        <f t="shared" si="4"/>
        <v>-1</v>
      </c>
    </row>
    <row r="15" spans="1:15" x14ac:dyDescent="0.35">
      <c r="A15" t="s">
        <v>39</v>
      </c>
      <c r="B15" s="6">
        <f>PRESUPUESTO_BASE!B15/2</f>
        <v>0</v>
      </c>
      <c r="D15" s="6" cm="1">
        <f t="array" ref="D15">B15*_xlfn.XLOOKUP(A15&amp;"|"&amp;"Almácigo", SELECTOR!$C$4:$C$63, SELECTOR!$D$4:$D$63)</f>
        <v>0</v>
      </c>
      <c r="E15" s="6">
        <f>PRESUPUESTO_BASE!C15/2</f>
        <v>14400</v>
      </c>
      <c r="G15" s="6" cm="1">
        <f t="array" ref="G15">E15*_xlfn.XLOOKUP(A15&amp;"|"&amp;"Campo definitivo", SELECTOR!$C$4:$C$63, SELECTOR!$D$4:$D$63)</f>
        <v>14400.000000000004</v>
      </c>
      <c r="H15" s="6">
        <f>PRESUPUESTO_BASE!D15/2</f>
        <v>0</v>
      </c>
      <c r="J15" s="6" cm="1">
        <f t="array" ref="J15">H15*_xlfn.XLOOKUP(A15&amp;"|"&amp;"Packing", SELECTOR!$C$4:$C$63, SELECTOR!$D$4:$D$63)</f>
        <v>0</v>
      </c>
      <c r="K15" s="6">
        <f t="shared" si="0"/>
        <v>14400</v>
      </c>
      <c r="L15" s="6">
        <f t="shared" si="1"/>
        <v>0</v>
      </c>
      <c r="M15" s="6">
        <f t="shared" si="2"/>
        <v>14400.000000000004</v>
      </c>
      <c r="N15" s="6">
        <f t="shared" si="3"/>
        <v>-14400.000000000004</v>
      </c>
      <c r="O15" s="6">
        <f t="shared" si="4"/>
        <v>-1</v>
      </c>
    </row>
    <row r="16" spans="1:15" x14ac:dyDescent="0.35">
      <c r="A16" t="s">
        <v>40</v>
      </c>
      <c r="B16" s="6">
        <f>PRESUPUESTO_BASE!B16/2</f>
        <v>0</v>
      </c>
      <c r="D16" s="6" cm="1">
        <f t="array" ref="D16">B16*_xlfn.XLOOKUP(A16&amp;"|"&amp;"Almácigo", SELECTOR!$C$4:$C$63, SELECTOR!$D$4:$D$63)</f>
        <v>0</v>
      </c>
      <c r="E16" s="6">
        <f>PRESUPUESTO_BASE!C16/2</f>
        <v>0</v>
      </c>
      <c r="G16" s="6" cm="1">
        <f t="array" ref="G16">E16*_xlfn.XLOOKUP(A16&amp;"|"&amp;"Campo definitivo", SELECTOR!$C$4:$C$63, SELECTOR!$D$4:$D$63)</f>
        <v>0</v>
      </c>
      <c r="H16" s="6">
        <f>PRESUPUESTO_BASE!D16/2</f>
        <v>3848</v>
      </c>
      <c r="J16" s="6" cm="1">
        <f t="array" ref="J16">H16*_xlfn.XLOOKUP(A16&amp;"|"&amp;"Packing", SELECTOR!$C$4:$C$63, SELECTOR!$D$4:$D$63)</f>
        <v>3848</v>
      </c>
      <c r="K16" s="6">
        <f t="shared" si="0"/>
        <v>3848</v>
      </c>
      <c r="L16" s="6">
        <f t="shared" si="1"/>
        <v>0</v>
      </c>
      <c r="M16" s="6">
        <f t="shared" si="2"/>
        <v>3848</v>
      </c>
      <c r="N16" s="6">
        <f t="shared" si="3"/>
        <v>-3848</v>
      </c>
      <c r="O16" s="6">
        <f t="shared" si="4"/>
        <v>-1</v>
      </c>
    </row>
    <row r="17" spans="1:15" x14ac:dyDescent="0.35">
      <c r="A17" t="s">
        <v>41</v>
      </c>
      <c r="B17" s="6">
        <f>PRESUPUESTO_BASE!B17/2</f>
        <v>0</v>
      </c>
      <c r="D17" s="6" cm="1">
        <f t="array" ref="D17">B17*_xlfn.XLOOKUP(A17&amp;"|"&amp;"Almácigo", SELECTOR!$C$4:$C$63, SELECTOR!$D$4:$D$63)</f>
        <v>0</v>
      </c>
      <c r="E17" s="6">
        <f>PRESUPUESTO_BASE!C17/2</f>
        <v>0</v>
      </c>
      <c r="G17" s="6" cm="1">
        <f t="array" ref="G17">E17*_xlfn.XLOOKUP(A17&amp;"|"&amp;"Campo definitivo", SELECTOR!$C$4:$C$63, SELECTOR!$D$4:$D$63)</f>
        <v>0</v>
      </c>
      <c r="H17" s="6">
        <f>PRESUPUESTO_BASE!D17/2</f>
        <v>15844.5</v>
      </c>
      <c r="J17" s="6" cm="1">
        <f t="array" ref="J17">H17*_xlfn.XLOOKUP(A17&amp;"|"&amp;"Packing", SELECTOR!$C$4:$C$63, SELECTOR!$D$4:$D$63)</f>
        <v>15844.5</v>
      </c>
      <c r="K17" s="6">
        <f t="shared" si="0"/>
        <v>15844.5</v>
      </c>
      <c r="L17" s="6">
        <f t="shared" si="1"/>
        <v>0</v>
      </c>
      <c r="M17" s="6">
        <f t="shared" si="2"/>
        <v>15844.5</v>
      </c>
      <c r="N17" s="6">
        <f t="shared" si="3"/>
        <v>-15844.5</v>
      </c>
      <c r="O17" s="6">
        <f t="shared" si="4"/>
        <v>-1</v>
      </c>
    </row>
    <row r="18" spans="1:15" x14ac:dyDescent="0.35">
      <c r="A18" t="s">
        <v>42</v>
      </c>
      <c r="B18" s="6">
        <f>PRESUPUESTO_BASE!B18/2</f>
        <v>0</v>
      </c>
      <c r="D18" s="6" cm="1">
        <f t="array" ref="D18">B18*_xlfn.XLOOKUP(A18&amp;"|"&amp;"Almácigo", SELECTOR!$C$4:$C$63, SELECTOR!$D$4:$D$63)</f>
        <v>0</v>
      </c>
      <c r="E18" s="6">
        <f>PRESUPUESTO_BASE!C18/2</f>
        <v>0</v>
      </c>
      <c r="G18" s="6" cm="1">
        <f t="array" ref="G18">E18*_xlfn.XLOOKUP(A18&amp;"|"&amp;"Campo definitivo", SELECTOR!$C$4:$C$63, SELECTOR!$D$4:$D$63)</f>
        <v>0</v>
      </c>
      <c r="H18" s="6">
        <f>PRESUPUESTO_BASE!D18/2</f>
        <v>2919</v>
      </c>
      <c r="J18" s="6" cm="1">
        <f t="array" ref="J18">H18*_xlfn.XLOOKUP(A18&amp;"|"&amp;"Packing", SELECTOR!$C$4:$C$63, SELECTOR!$D$4:$D$63)</f>
        <v>2919</v>
      </c>
      <c r="K18" s="6">
        <f t="shared" si="0"/>
        <v>2919</v>
      </c>
      <c r="L18" s="6">
        <f t="shared" si="1"/>
        <v>0</v>
      </c>
      <c r="M18" s="6">
        <f t="shared" si="2"/>
        <v>2919</v>
      </c>
      <c r="N18" s="6">
        <f t="shared" si="3"/>
        <v>-2919</v>
      </c>
      <c r="O18" s="6">
        <f t="shared" si="4"/>
        <v>-1</v>
      </c>
    </row>
    <row r="19" spans="1:15" x14ac:dyDescent="0.35">
      <c r="A19" t="s">
        <v>43</v>
      </c>
      <c r="B19" s="6">
        <f>PRESUPUESTO_BASE!B19/2</f>
        <v>0</v>
      </c>
      <c r="D19" s="6" cm="1">
        <f t="array" ref="D19">B19*_xlfn.XLOOKUP(A19&amp;"|"&amp;"Almácigo", SELECTOR!$C$4:$C$63, SELECTOR!$D$4:$D$63)</f>
        <v>0</v>
      </c>
      <c r="E19" s="6">
        <f>PRESUPUESTO_BASE!C19/2</f>
        <v>0</v>
      </c>
      <c r="G19" s="6" cm="1">
        <f t="array" ref="G19">E19*_xlfn.XLOOKUP(A19&amp;"|"&amp;"Campo definitivo", SELECTOR!$C$4:$C$63, SELECTOR!$D$4:$D$63)</f>
        <v>0</v>
      </c>
      <c r="H19" s="6">
        <f>PRESUPUESTO_BASE!D19/2</f>
        <v>6240</v>
      </c>
      <c r="J19" s="6" cm="1">
        <f t="array" ref="J19">H19*_xlfn.XLOOKUP(A19&amp;"|"&amp;"Packing", SELECTOR!$C$4:$C$63, SELECTOR!$D$4:$D$63)</f>
        <v>6240</v>
      </c>
      <c r="K19" s="6">
        <f t="shared" si="0"/>
        <v>6240</v>
      </c>
      <c r="L19" s="6">
        <f t="shared" si="1"/>
        <v>0</v>
      </c>
      <c r="M19" s="6">
        <f t="shared" si="2"/>
        <v>6240</v>
      </c>
      <c r="N19" s="6">
        <f t="shared" si="3"/>
        <v>-6240</v>
      </c>
      <c r="O19" s="6">
        <f t="shared" si="4"/>
        <v>-1</v>
      </c>
    </row>
    <row r="20" spans="1:15" x14ac:dyDescent="0.35">
      <c r="A20" t="s">
        <v>44</v>
      </c>
      <c r="B20" s="6">
        <f>PRESUPUESTO_BASE!B20/2</f>
        <v>0</v>
      </c>
      <c r="D20" s="6" cm="1">
        <f t="array" ref="D20">B20*_xlfn.XLOOKUP(A20&amp;"|"&amp;"Almácigo", SELECTOR!$C$4:$C$63, SELECTOR!$D$4:$D$63)</f>
        <v>0</v>
      </c>
      <c r="E20" s="6">
        <f>PRESUPUESTO_BASE!C20/2</f>
        <v>0</v>
      </c>
      <c r="G20" s="6" cm="1">
        <f t="array" ref="G20">E20*_xlfn.XLOOKUP(A20&amp;"|"&amp;"Campo definitivo", SELECTOR!$C$4:$C$63, SELECTOR!$D$4:$D$63)</f>
        <v>0</v>
      </c>
      <c r="H20" s="6">
        <f>PRESUPUESTO_BASE!D20/2</f>
        <v>0</v>
      </c>
      <c r="J20" s="6" cm="1">
        <f t="array" ref="J20">H20*_xlfn.XLOOKUP(A20&amp;"|"&amp;"Packing", SELECTOR!$C$4:$C$63, SELECTOR!$D$4:$D$63)</f>
        <v>0</v>
      </c>
      <c r="K20" s="6">
        <f t="shared" si="0"/>
        <v>0</v>
      </c>
      <c r="L20" s="6">
        <f t="shared" si="1"/>
        <v>0</v>
      </c>
      <c r="M20" s="6">
        <f t="shared" si="2"/>
        <v>0</v>
      </c>
      <c r="N20" s="6">
        <f t="shared" si="3"/>
        <v>0</v>
      </c>
      <c r="O20" s="6">
        <f t="shared" si="4"/>
        <v>0</v>
      </c>
    </row>
    <row r="21" spans="1:15" x14ac:dyDescent="0.35">
      <c r="A21" t="s">
        <v>45</v>
      </c>
      <c r="B21" s="6">
        <f>PRESUPUESTO_BASE!B21/2</f>
        <v>0</v>
      </c>
      <c r="D21" s="6" cm="1">
        <f t="array" ref="D21">B21*_xlfn.XLOOKUP(A21&amp;"|"&amp;"Almácigo", SELECTOR!$C$4:$C$63, SELECTOR!$D$4:$D$63)</f>
        <v>0</v>
      </c>
      <c r="E21" s="6">
        <f>PRESUPUESTO_BASE!C21/2</f>
        <v>0</v>
      </c>
      <c r="G21" s="6" cm="1">
        <f t="array" ref="G21">E21*_xlfn.XLOOKUP(A21&amp;"|"&amp;"Campo definitivo", SELECTOR!$C$4:$C$63, SELECTOR!$D$4:$D$63)</f>
        <v>0</v>
      </c>
      <c r="H21" s="6">
        <f>PRESUPUESTO_BASE!D21/2</f>
        <v>0</v>
      </c>
      <c r="J21" s="6" cm="1">
        <f t="array" ref="J21">H21*_xlfn.XLOOKUP(A21&amp;"|"&amp;"Packing", SELECTOR!$C$4:$C$63, SELECTOR!$D$4:$D$63)</f>
        <v>0</v>
      </c>
      <c r="K21" s="6">
        <f t="shared" si="0"/>
        <v>0</v>
      </c>
      <c r="L21" s="6">
        <f t="shared" si="1"/>
        <v>0</v>
      </c>
      <c r="M21" s="6">
        <f t="shared" si="2"/>
        <v>0</v>
      </c>
      <c r="N21" s="6">
        <f t="shared" si="3"/>
        <v>0</v>
      </c>
      <c r="O21" s="6">
        <f t="shared" si="4"/>
        <v>0</v>
      </c>
    </row>
    <row r="22" spans="1:15" x14ac:dyDescent="0.35">
      <c r="A22" t="s">
        <v>46</v>
      </c>
      <c r="B22" s="6">
        <f>PRESUPUESTO_BASE!B22/2</f>
        <v>0</v>
      </c>
      <c r="D22" s="6" cm="1">
        <f t="array" ref="D22">B22*_xlfn.XLOOKUP(A22&amp;"|"&amp;"Almácigo", SELECTOR!$C$4:$C$63, SELECTOR!$D$4:$D$63)</f>
        <v>0</v>
      </c>
      <c r="E22" s="6">
        <f>PRESUPUESTO_BASE!C22/2</f>
        <v>0</v>
      </c>
      <c r="G22" s="6" cm="1">
        <f t="array" ref="G22">E22*_xlfn.XLOOKUP(A22&amp;"|"&amp;"Campo definitivo", SELECTOR!$C$4:$C$63, SELECTOR!$D$4:$D$63)</f>
        <v>0</v>
      </c>
      <c r="H22" s="6">
        <f>PRESUPUESTO_BASE!D22/2</f>
        <v>0</v>
      </c>
      <c r="J22" s="6" cm="1">
        <f t="array" ref="J22">H22*_xlfn.XLOOKUP(A22&amp;"|"&amp;"Packing", SELECTOR!$C$4:$C$63, SELECTOR!$D$4:$D$63)</f>
        <v>0</v>
      </c>
      <c r="K22" s="6">
        <f t="shared" si="0"/>
        <v>0</v>
      </c>
      <c r="L22" s="6">
        <f t="shared" si="1"/>
        <v>0</v>
      </c>
      <c r="M22" s="6">
        <f t="shared" si="2"/>
        <v>0</v>
      </c>
      <c r="N22" s="6">
        <f t="shared" si="3"/>
        <v>0</v>
      </c>
      <c r="O22" s="6">
        <f t="shared" si="4"/>
        <v>0</v>
      </c>
    </row>
    <row r="23" spans="1:15" x14ac:dyDescent="0.35">
      <c r="A23" t="s">
        <v>47</v>
      </c>
      <c r="B23" s="6">
        <f>PRESUPUESTO_BASE!B23/2</f>
        <v>0</v>
      </c>
      <c r="D23" s="6" cm="1">
        <f t="array" ref="D23">B23*_xlfn.XLOOKUP(A23&amp;"|"&amp;"Almácigo", SELECTOR!$C$4:$C$63, SELECTOR!$D$4:$D$63)</f>
        <v>0</v>
      </c>
      <c r="E23" s="6">
        <f>PRESUPUESTO_BASE!C23/2</f>
        <v>0</v>
      </c>
      <c r="G23" s="6" cm="1">
        <f t="array" ref="G23">E23*_xlfn.XLOOKUP(A23&amp;"|"&amp;"Campo definitivo", SELECTOR!$C$4:$C$63, SELECTOR!$D$4:$D$63)</f>
        <v>0</v>
      </c>
      <c r="H23" s="6">
        <f>PRESUPUESTO_BASE!D23/2</f>
        <v>0</v>
      </c>
      <c r="J23" s="6" cm="1">
        <f t="array" ref="J23">H23*_xlfn.XLOOKUP(A23&amp;"|"&amp;"Packing", SELECTOR!$C$4:$C$63, SELECTOR!$D$4:$D$63)</f>
        <v>0</v>
      </c>
      <c r="K23" s="6">
        <f t="shared" si="0"/>
        <v>0</v>
      </c>
      <c r="L23" s="6">
        <f t="shared" si="1"/>
        <v>0</v>
      </c>
      <c r="M23" s="6">
        <f t="shared" si="2"/>
        <v>0</v>
      </c>
      <c r="N23" s="6">
        <f t="shared" si="3"/>
        <v>0</v>
      </c>
      <c r="O23" s="6">
        <f t="shared" si="4"/>
        <v>0</v>
      </c>
    </row>
    <row r="24" spans="1:15" x14ac:dyDescent="0.35">
      <c r="A24" s="4" t="s">
        <v>25</v>
      </c>
      <c r="B24" s="6">
        <f t="shared" ref="B24:M24" si="5">SUM(B4:B23)</f>
        <v>391008.5</v>
      </c>
      <c r="C24" s="6">
        <f t="shared" si="5"/>
        <v>0</v>
      </c>
      <c r="D24" s="6">
        <f t="shared" si="5"/>
        <v>391008.5</v>
      </c>
      <c r="E24" s="6">
        <f t="shared" si="5"/>
        <v>2640119</v>
      </c>
      <c r="F24" s="6">
        <f t="shared" si="5"/>
        <v>0</v>
      </c>
      <c r="G24" s="6">
        <f t="shared" si="5"/>
        <v>2640119</v>
      </c>
      <c r="H24" s="6">
        <f t="shared" si="5"/>
        <v>248862</v>
      </c>
      <c r="I24" s="6">
        <f t="shared" si="5"/>
        <v>0</v>
      </c>
      <c r="J24" s="6">
        <f t="shared" si="5"/>
        <v>248862.00000000003</v>
      </c>
      <c r="K24" s="6">
        <f t="shared" si="5"/>
        <v>3279989.5</v>
      </c>
      <c r="L24" s="6">
        <f t="shared" si="5"/>
        <v>0</v>
      </c>
      <c r="M24" s="6">
        <f t="shared" si="5"/>
        <v>3279989.5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TABLERO</vt:lpstr>
      <vt:lpstr>PRESUPUESTO_BASE</vt:lpstr>
      <vt:lpstr>PARAM_AVANCE_INVIERNO</vt:lpstr>
      <vt:lpstr>PARAM_AVANCE_VERANO</vt:lpstr>
      <vt:lpstr>SELECTOR</vt:lpstr>
      <vt:lpstr>COMPARATIVO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Gonzalez</dc:creator>
  <cp:lastModifiedBy>Eduardo Octavio</cp:lastModifiedBy>
  <dcterms:created xsi:type="dcterms:W3CDTF">2025-11-05T00:50:21Z</dcterms:created>
  <dcterms:modified xsi:type="dcterms:W3CDTF">2025-11-07T16:11:49Z</dcterms:modified>
</cp:coreProperties>
</file>