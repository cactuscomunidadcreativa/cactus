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uardo Gonzales\Desktop\Documents\A ARCHIVOS EGC\AGRILOR\ANIKAMA\REPORTES DE PRODUCCION\"/>
    </mc:Choice>
  </mc:AlternateContent>
  <xr:revisionPtr revIDLastSave="0" documentId="13_ncr:1_{50F1C17A-1EA3-465F-A197-119A3B6296BA}" xr6:coauthVersionLast="47" xr6:coauthVersionMax="47" xr10:uidLastSave="{00000000-0000-0000-0000-000000000000}"/>
  <bookViews>
    <workbookView xWindow="-110" yWindow="-110" windowWidth="19420" windowHeight="10420" tabRatio="778" xr2:uid="{B5055292-94E8-4C99-8F46-7FA4CE6F9CEE}"/>
  </bookViews>
  <sheets>
    <sheet name="1ReporteImpactoYRendvs Presup" sheetId="1" r:id="rId1"/>
    <sheet name="2ResultXLote" sheetId="2" r:id="rId2"/>
    <sheet name="3ComparaXRubro" sheetId="3" r:id="rId3"/>
    <sheet name="4GastoRealVsPresup" sheetId="4" r:id="rId4"/>
    <sheet name="5Ratios" sheetId="5" r:id="rId5"/>
  </sheets>
  <externalReferences>
    <externalReference r:id="rId6"/>
    <externalReference r:id="rId7"/>
    <externalReference r:id="rId8"/>
    <externalReference r:id="rId9"/>
  </externalReferences>
  <definedNames>
    <definedName name="CentrCostos" localSheetId="2">#REF!</definedName>
    <definedName name="CentrCostos">[1]Parametros!$B$3:$B$7</definedName>
    <definedName name="CodEgr" localSheetId="2">#REF!</definedName>
    <definedName name="CodEgr">[1]Parametros!$E$3:$E$22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Y418" i="4" l="1"/>
  <c r="Y417" i="4"/>
  <c r="V416" i="4"/>
  <c r="S416" i="4"/>
  <c r="P416" i="4"/>
  <c r="M416" i="4"/>
  <c r="J416" i="4"/>
  <c r="G416" i="4"/>
  <c r="I75" i="3"/>
  <c r="H75" i="3"/>
  <c r="G75" i="3"/>
  <c r="F75" i="3"/>
  <c r="E75" i="3"/>
  <c r="D75" i="3"/>
  <c r="C75" i="3"/>
  <c r="M74" i="3"/>
  <c r="Q74" i="3" s="1"/>
  <c r="L74" i="3"/>
  <c r="P74" i="3" s="1"/>
  <c r="K74" i="3"/>
  <c r="N74" i="3" s="1"/>
  <c r="R74" i="3" s="1"/>
  <c r="J74" i="3"/>
  <c r="M73" i="3"/>
  <c r="Q73" i="3" s="1"/>
  <c r="L73" i="3"/>
  <c r="P73" i="3" s="1"/>
  <c r="K73" i="3"/>
  <c r="O73" i="3" s="1"/>
  <c r="J73" i="3"/>
  <c r="Q72" i="3"/>
  <c r="M72" i="3"/>
  <c r="N72" i="3" s="1"/>
  <c r="R72" i="3" s="1"/>
  <c r="L72" i="3"/>
  <c r="P72" i="3" s="1"/>
  <c r="K72" i="3"/>
  <c r="O72" i="3" s="1"/>
  <c r="J72" i="3"/>
  <c r="N71" i="3"/>
  <c r="R71" i="3" s="1"/>
  <c r="M71" i="3"/>
  <c r="Q71" i="3" s="1"/>
  <c r="L71" i="3"/>
  <c r="P71" i="3" s="1"/>
  <c r="K71" i="3"/>
  <c r="O71" i="3" s="1"/>
  <c r="J71" i="3"/>
  <c r="M70" i="3"/>
  <c r="Q70" i="3" s="1"/>
  <c r="L70" i="3"/>
  <c r="P70" i="3" s="1"/>
  <c r="K70" i="3"/>
  <c r="N70" i="3" s="1"/>
  <c r="R70" i="3" s="1"/>
  <c r="J70" i="3"/>
  <c r="M69" i="3"/>
  <c r="Q69" i="3" s="1"/>
  <c r="L69" i="3"/>
  <c r="P69" i="3" s="1"/>
  <c r="K69" i="3"/>
  <c r="O69" i="3" s="1"/>
  <c r="J69" i="3"/>
  <c r="M68" i="3"/>
  <c r="N68" i="3" s="1"/>
  <c r="R68" i="3" s="1"/>
  <c r="L68" i="3"/>
  <c r="P68" i="3" s="1"/>
  <c r="K68" i="3"/>
  <c r="O68" i="3" s="1"/>
  <c r="J68" i="3"/>
  <c r="R67" i="3"/>
  <c r="N67" i="3"/>
  <c r="M67" i="3"/>
  <c r="Q67" i="3" s="1"/>
  <c r="L67" i="3"/>
  <c r="P67" i="3" s="1"/>
  <c r="K67" i="3"/>
  <c r="O67" i="3" s="1"/>
  <c r="J67" i="3"/>
  <c r="M66" i="3"/>
  <c r="Q66" i="3" s="1"/>
  <c r="L66" i="3"/>
  <c r="P66" i="3" s="1"/>
  <c r="K66" i="3"/>
  <c r="N66" i="3" s="1"/>
  <c r="R66" i="3" s="1"/>
  <c r="J66" i="3"/>
  <c r="P65" i="3"/>
  <c r="M65" i="3"/>
  <c r="Q65" i="3" s="1"/>
  <c r="L65" i="3"/>
  <c r="K65" i="3"/>
  <c r="O65" i="3" s="1"/>
  <c r="J65" i="3"/>
  <c r="Q64" i="3"/>
  <c r="M64" i="3"/>
  <c r="N64" i="3" s="1"/>
  <c r="R64" i="3" s="1"/>
  <c r="L64" i="3"/>
  <c r="P64" i="3" s="1"/>
  <c r="K64" i="3"/>
  <c r="O64" i="3" s="1"/>
  <c r="J64" i="3"/>
  <c r="R63" i="3"/>
  <c r="N63" i="3"/>
  <c r="M63" i="3"/>
  <c r="Q63" i="3" s="1"/>
  <c r="L63" i="3"/>
  <c r="P63" i="3" s="1"/>
  <c r="K63" i="3"/>
  <c r="O63" i="3" s="1"/>
  <c r="J63" i="3"/>
  <c r="M62" i="3"/>
  <c r="Q62" i="3" s="1"/>
  <c r="L62" i="3"/>
  <c r="P62" i="3" s="1"/>
  <c r="K62" i="3"/>
  <c r="N62" i="3" s="1"/>
  <c r="R62" i="3" s="1"/>
  <c r="J62" i="3"/>
  <c r="P61" i="3"/>
  <c r="M61" i="3"/>
  <c r="Q61" i="3" s="1"/>
  <c r="L61" i="3"/>
  <c r="K61" i="3"/>
  <c r="O61" i="3" s="1"/>
  <c r="J61" i="3"/>
  <c r="M60" i="3"/>
  <c r="N60" i="3" s="1"/>
  <c r="R60" i="3" s="1"/>
  <c r="L60" i="3"/>
  <c r="P60" i="3" s="1"/>
  <c r="K60" i="3"/>
  <c r="O60" i="3" s="1"/>
  <c r="J60" i="3"/>
  <c r="R59" i="3"/>
  <c r="N59" i="3"/>
  <c r="M59" i="3"/>
  <c r="Q59" i="3" s="1"/>
  <c r="L59" i="3"/>
  <c r="P59" i="3" s="1"/>
  <c r="K59" i="3"/>
  <c r="O59" i="3" s="1"/>
  <c r="J59" i="3"/>
  <c r="O58" i="3"/>
  <c r="M58" i="3"/>
  <c r="Q58" i="3" s="1"/>
  <c r="L58" i="3"/>
  <c r="P58" i="3" s="1"/>
  <c r="K58" i="3"/>
  <c r="N58" i="3" s="1"/>
  <c r="R58" i="3" s="1"/>
  <c r="J58" i="3"/>
  <c r="M57" i="3"/>
  <c r="Q57" i="3" s="1"/>
  <c r="L57" i="3"/>
  <c r="P57" i="3" s="1"/>
  <c r="K57" i="3"/>
  <c r="O57" i="3" s="1"/>
  <c r="J57" i="3"/>
  <c r="Q56" i="3"/>
  <c r="M56" i="3"/>
  <c r="N56" i="3" s="1"/>
  <c r="R56" i="3" s="1"/>
  <c r="L56" i="3"/>
  <c r="P56" i="3" s="1"/>
  <c r="K56" i="3"/>
  <c r="O56" i="3" s="1"/>
  <c r="J56" i="3"/>
  <c r="N55" i="3"/>
  <c r="M55" i="3"/>
  <c r="Q55" i="3" s="1"/>
  <c r="L55" i="3"/>
  <c r="P55" i="3" s="1"/>
  <c r="K55" i="3"/>
  <c r="O55" i="3" s="1"/>
  <c r="J55" i="3"/>
  <c r="J75" i="3" s="1"/>
  <c r="F49" i="3"/>
  <c r="H48" i="3"/>
  <c r="H47" i="3"/>
  <c r="G47" i="3"/>
  <c r="G49" i="3" s="1"/>
  <c r="D47" i="3"/>
  <c r="E47" i="3" s="1"/>
  <c r="H46" i="3"/>
  <c r="P38" i="3"/>
  <c r="H37" i="3"/>
  <c r="I36" i="3"/>
  <c r="H36" i="3"/>
  <c r="G36" i="3"/>
  <c r="G37" i="3" s="1"/>
  <c r="F36" i="3"/>
  <c r="E36" i="3"/>
  <c r="D36" i="3"/>
  <c r="C36" i="3"/>
  <c r="O35" i="3"/>
  <c r="M35" i="3"/>
  <c r="Q35" i="3" s="1"/>
  <c r="L35" i="3"/>
  <c r="P35" i="3" s="1"/>
  <c r="K35" i="3"/>
  <c r="J35" i="3"/>
  <c r="Q34" i="3"/>
  <c r="M34" i="3"/>
  <c r="L34" i="3"/>
  <c r="P34" i="3" s="1"/>
  <c r="K34" i="3"/>
  <c r="O34" i="3" s="1"/>
  <c r="J34" i="3"/>
  <c r="Q33" i="3"/>
  <c r="M33" i="3"/>
  <c r="N33" i="3" s="1"/>
  <c r="R33" i="3" s="1"/>
  <c r="L33" i="3"/>
  <c r="P33" i="3" s="1"/>
  <c r="K33" i="3"/>
  <c r="O33" i="3" s="1"/>
  <c r="J33" i="3"/>
  <c r="N32" i="3"/>
  <c r="R32" i="3" s="1"/>
  <c r="M32" i="3"/>
  <c r="Q32" i="3" s="1"/>
  <c r="L32" i="3"/>
  <c r="P32" i="3" s="1"/>
  <c r="K32" i="3"/>
  <c r="O32" i="3" s="1"/>
  <c r="J32" i="3"/>
  <c r="O31" i="3"/>
  <c r="M31" i="3"/>
  <c r="Q31" i="3" s="1"/>
  <c r="L31" i="3"/>
  <c r="P31" i="3" s="1"/>
  <c r="K31" i="3"/>
  <c r="J31" i="3"/>
  <c r="P30" i="3"/>
  <c r="M30" i="3"/>
  <c r="Q30" i="3" s="1"/>
  <c r="L30" i="3"/>
  <c r="K30" i="3"/>
  <c r="O30" i="3" s="1"/>
  <c r="J30" i="3"/>
  <c r="M29" i="3"/>
  <c r="N29" i="3" s="1"/>
  <c r="R29" i="3" s="1"/>
  <c r="L29" i="3"/>
  <c r="P29" i="3" s="1"/>
  <c r="K29" i="3"/>
  <c r="O29" i="3" s="1"/>
  <c r="J29" i="3"/>
  <c r="R28" i="3"/>
  <c r="N28" i="3"/>
  <c r="M28" i="3"/>
  <c r="Q28" i="3" s="1"/>
  <c r="L28" i="3"/>
  <c r="P28" i="3" s="1"/>
  <c r="K28" i="3"/>
  <c r="O28" i="3" s="1"/>
  <c r="J28" i="3"/>
  <c r="O27" i="3"/>
  <c r="M27" i="3"/>
  <c r="Q27" i="3" s="1"/>
  <c r="L27" i="3"/>
  <c r="P27" i="3" s="1"/>
  <c r="K27" i="3"/>
  <c r="J27" i="3"/>
  <c r="Q26" i="3"/>
  <c r="M26" i="3"/>
  <c r="L26" i="3"/>
  <c r="P26" i="3" s="1"/>
  <c r="K26" i="3"/>
  <c r="O26" i="3" s="1"/>
  <c r="J26" i="3"/>
  <c r="Q25" i="3"/>
  <c r="M25" i="3"/>
  <c r="N25" i="3" s="1"/>
  <c r="R25" i="3" s="1"/>
  <c r="L25" i="3"/>
  <c r="P25" i="3" s="1"/>
  <c r="K25" i="3"/>
  <c r="O25" i="3" s="1"/>
  <c r="J25" i="3"/>
  <c r="N24" i="3"/>
  <c r="R24" i="3" s="1"/>
  <c r="M24" i="3"/>
  <c r="Q24" i="3" s="1"/>
  <c r="L24" i="3"/>
  <c r="P24" i="3" s="1"/>
  <c r="K24" i="3"/>
  <c r="O24" i="3" s="1"/>
  <c r="J24" i="3"/>
  <c r="N23" i="3"/>
  <c r="R23" i="3" s="1"/>
  <c r="M23" i="3"/>
  <c r="Q23" i="3" s="1"/>
  <c r="L23" i="3"/>
  <c r="P23" i="3" s="1"/>
  <c r="K23" i="3"/>
  <c r="O23" i="3" s="1"/>
  <c r="J23" i="3"/>
  <c r="P22" i="3"/>
  <c r="M22" i="3"/>
  <c r="Q22" i="3" s="1"/>
  <c r="L22" i="3"/>
  <c r="K22" i="3"/>
  <c r="J22" i="3"/>
  <c r="P21" i="3"/>
  <c r="M21" i="3"/>
  <c r="Q21" i="3" s="1"/>
  <c r="L21" i="3"/>
  <c r="N21" i="3" s="1"/>
  <c r="R21" i="3" s="1"/>
  <c r="K21" i="3"/>
  <c r="O21" i="3" s="1"/>
  <c r="J21" i="3"/>
  <c r="M20" i="3"/>
  <c r="Q20" i="3" s="1"/>
  <c r="L20" i="3"/>
  <c r="P20" i="3" s="1"/>
  <c r="K20" i="3"/>
  <c r="N20" i="3" s="1"/>
  <c r="R20" i="3" s="1"/>
  <c r="J20" i="3"/>
  <c r="M19" i="3"/>
  <c r="Q19" i="3" s="1"/>
  <c r="L19" i="3"/>
  <c r="P19" i="3" s="1"/>
  <c r="K19" i="3"/>
  <c r="N19" i="3" s="1"/>
  <c r="R19" i="3" s="1"/>
  <c r="J19" i="3"/>
  <c r="Q18" i="3"/>
  <c r="O18" i="3"/>
  <c r="M18" i="3"/>
  <c r="L18" i="3"/>
  <c r="P18" i="3" s="1"/>
  <c r="K18" i="3"/>
  <c r="J18" i="3"/>
  <c r="Q17" i="3"/>
  <c r="M17" i="3"/>
  <c r="L17" i="3"/>
  <c r="P17" i="3" s="1"/>
  <c r="K17" i="3"/>
  <c r="O17" i="3" s="1"/>
  <c r="J17" i="3"/>
  <c r="Q16" i="3"/>
  <c r="N16" i="3"/>
  <c r="M16" i="3"/>
  <c r="L16" i="3"/>
  <c r="P16" i="3" s="1"/>
  <c r="K16" i="3"/>
  <c r="K36" i="3" s="1"/>
  <c r="O36" i="3" s="1"/>
  <c r="J16" i="3"/>
  <c r="F10" i="3"/>
  <c r="H9" i="3"/>
  <c r="I37" i="3" s="1"/>
  <c r="I38" i="3" s="1"/>
  <c r="H8" i="3"/>
  <c r="G8" i="3"/>
  <c r="G10" i="3" s="1"/>
  <c r="E8" i="3"/>
  <c r="D8" i="3"/>
  <c r="H7" i="3"/>
  <c r="H10" i="3" s="1"/>
  <c r="Q29" i="3" l="1"/>
  <c r="L36" i="3"/>
  <c r="P36" i="3" s="1"/>
  <c r="P75" i="3"/>
  <c r="O66" i="3"/>
  <c r="J36" i="3"/>
  <c r="P39" i="3" s="1"/>
  <c r="N17" i="3"/>
  <c r="R17" i="3" s="1"/>
  <c r="O19" i="3"/>
  <c r="O20" i="3"/>
  <c r="N22" i="3"/>
  <c r="R22" i="3" s="1"/>
  <c r="O16" i="3"/>
  <c r="N18" i="3"/>
  <c r="R18" i="3" s="1"/>
  <c r="N31" i="3"/>
  <c r="R31" i="3" s="1"/>
  <c r="H38" i="3"/>
  <c r="Q75" i="3"/>
  <c r="Q60" i="3"/>
  <c r="O70" i="3"/>
  <c r="O74" i="3"/>
  <c r="K75" i="3"/>
  <c r="M36" i="3"/>
  <c r="Q36" i="3" s="1"/>
  <c r="R16" i="3"/>
  <c r="O22" i="3"/>
  <c r="N27" i="3"/>
  <c r="R27" i="3" s="1"/>
  <c r="N35" i="3"/>
  <c r="R35" i="3" s="1"/>
  <c r="H49" i="3"/>
  <c r="R55" i="3"/>
  <c r="O62" i="3"/>
  <c r="O75" i="3" s="1"/>
  <c r="Q68" i="3"/>
  <c r="L75" i="3"/>
  <c r="N26" i="3"/>
  <c r="R26" i="3" s="1"/>
  <c r="N30" i="3"/>
  <c r="R30" i="3" s="1"/>
  <c r="N34" i="3"/>
  <c r="R34" i="3" s="1"/>
  <c r="N57" i="3"/>
  <c r="R57" i="3" s="1"/>
  <c r="N61" i="3"/>
  <c r="R61" i="3" s="1"/>
  <c r="N65" i="3"/>
  <c r="R65" i="3" s="1"/>
  <c r="N69" i="3"/>
  <c r="R69" i="3" s="1"/>
  <c r="N73" i="3"/>
  <c r="R73" i="3" s="1"/>
  <c r="M75" i="3"/>
  <c r="N36" i="3" l="1"/>
  <c r="R36" i="3" s="1"/>
  <c r="R75" i="3"/>
  <c r="N75" i="3"/>
  <c r="M18" i="2" l="1"/>
  <c r="N18" i="2" s="1"/>
  <c r="D18" i="2"/>
  <c r="E18" i="2" s="1"/>
  <c r="S45" i="1"/>
  <c r="L23" i="1"/>
  <c r="J25" i="1" s="1"/>
  <c r="F23" i="1"/>
  <c r="E23" i="1"/>
  <c r="I23" i="1" s="1"/>
  <c r="G22" i="2" s="1"/>
  <c r="D23" i="1"/>
  <c r="C23" i="1"/>
  <c r="Y22" i="1"/>
  <c r="Q22" i="1"/>
  <c r="U22" i="1" s="1"/>
  <c r="P22" i="1"/>
  <c r="M21" i="2" s="1"/>
  <c r="N21" i="2" s="1"/>
  <c r="N22" i="1"/>
  <c r="J22" i="1"/>
  <c r="I22" i="1"/>
  <c r="G21" i="2" s="1"/>
  <c r="H22" i="1"/>
  <c r="F21" i="2" s="1"/>
  <c r="Y21" i="1"/>
  <c r="T21" i="1"/>
  <c r="Z21" i="1" s="1"/>
  <c r="Q21" i="1"/>
  <c r="U21" i="1" s="1"/>
  <c r="P21" i="1"/>
  <c r="M20" i="2" s="1"/>
  <c r="N20" i="2" s="1"/>
  <c r="N21" i="1"/>
  <c r="J21" i="1"/>
  <c r="I21" i="1"/>
  <c r="G20" i="2" s="1"/>
  <c r="H21" i="1"/>
  <c r="F20" i="2" s="1"/>
  <c r="Y20" i="1"/>
  <c r="Q20" i="1"/>
  <c r="U20" i="1" s="1"/>
  <c r="P20" i="1"/>
  <c r="M19" i="2" s="1"/>
  <c r="N19" i="2" s="1"/>
  <c r="N20" i="1"/>
  <c r="M20" i="1" s="1"/>
  <c r="J20" i="1"/>
  <c r="I20" i="1"/>
  <c r="G19" i="2" s="1"/>
  <c r="H20" i="1"/>
  <c r="F19" i="2" s="1"/>
  <c r="Y19" i="1"/>
  <c r="T19" i="1"/>
  <c r="Z19" i="1" s="1"/>
  <c r="S19" i="1"/>
  <c r="R19" i="1"/>
  <c r="N19" i="1"/>
  <c r="M19" i="1" s="1"/>
  <c r="W19" i="1" s="1"/>
  <c r="J19" i="1"/>
  <c r="I19" i="1"/>
  <c r="G18" i="2" s="1"/>
  <c r="H19" i="1"/>
  <c r="F18" i="2" s="1"/>
  <c r="Y18" i="1"/>
  <c r="Q18" i="1"/>
  <c r="U18" i="1" s="1"/>
  <c r="P18" i="1"/>
  <c r="M17" i="2" s="1"/>
  <c r="N17" i="2" s="1"/>
  <c r="N18" i="1"/>
  <c r="J18" i="1"/>
  <c r="I18" i="1"/>
  <c r="G17" i="2" s="1"/>
  <c r="H18" i="1"/>
  <c r="F17" i="2" s="1"/>
  <c r="Q17" i="1"/>
  <c r="P17" i="1"/>
  <c r="M16" i="2" s="1"/>
  <c r="N16" i="2" s="1"/>
  <c r="N17" i="1"/>
  <c r="O16" i="2" s="1"/>
  <c r="P16" i="2" s="1"/>
  <c r="J17" i="1"/>
  <c r="I17" i="1"/>
  <c r="G16" i="2" s="1"/>
  <c r="H17" i="1"/>
  <c r="F16" i="2" s="1"/>
  <c r="Q16" i="1"/>
  <c r="P16" i="1"/>
  <c r="T16" i="1" s="1"/>
  <c r="Z16" i="1" s="1"/>
  <c r="N16" i="1"/>
  <c r="M16" i="1" s="1"/>
  <c r="J16" i="1"/>
  <c r="I16" i="1"/>
  <c r="G15" i="2" s="1"/>
  <c r="H16" i="1"/>
  <c r="F15" i="2" s="1"/>
  <c r="Q15" i="1"/>
  <c r="P15" i="1"/>
  <c r="M14" i="2" s="1"/>
  <c r="N14" i="2" s="1"/>
  <c r="O15" i="1"/>
  <c r="R15" i="1" s="1"/>
  <c r="N15" i="1"/>
  <c r="U15" i="1" s="1"/>
  <c r="J15" i="1"/>
  <c r="I15" i="1"/>
  <c r="G14" i="2" s="1"/>
  <c r="H15" i="1"/>
  <c r="F14" i="2" s="1"/>
  <c r="P14" i="1"/>
  <c r="T14" i="1" s="1"/>
  <c r="Z14" i="1" s="1"/>
  <c r="O14" i="1"/>
  <c r="R14" i="1" s="1"/>
  <c r="N14" i="1"/>
  <c r="O13" i="2" s="1"/>
  <c r="P13" i="2" s="1"/>
  <c r="J14" i="1"/>
  <c r="I14" i="1"/>
  <c r="G13" i="2" s="1"/>
  <c r="H14" i="1"/>
  <c r="F13" i="2" s="1"/>
  <c r="P13" i="1"/>
  <c r="S13" i="1" s="1"/>
  <c r="D12" i="2" s="1"/>
  <c r="E12" i="2" s="1"/>
  <c r="O13" i="1"/>
  <c r="R13" i="1" s="1"/>
  <c r="N13" i="1"/>
  <c r="M13" i="1" s="1"/>
  <c r="J13" i="1"/>
  <c r="I13" i="1"/>
  <c r="G12" i="2" s="1"/>
  <c r="K12" i="2" s="1"/>
  <c r="H13" i="1"/>
  <c r="F12" i="2" s="1"/>
  <c r="P12" i="1"/>
  <c r="M11" i="2" s="1"/>
  <c r="N11" i="2" s="1"/>
  <c r="O12" i="1"/>
  <c r="R12" i="1" s="1"/>
  <c r="N12" i="1"/>
  <c r="U12" i="1" s="1"/>
  <c r="J12" i="1"/>
  <c r="I12" i="1"/>
  <c r="G11" i="2" s="1"/>
  <c r="H12" i="1"/>
  <c r="F11" i="2" s="1"/>
  <c r="Q11" i="1"/>
  <c r="P11" i="1"/>
  <c r="M10" i="2" s="1"/>
  <c r="N10" i="2" s="1"/>
  <c r="O11" i="1"/>
  <c r="N11" i="1"/>
  <c r="O10" i="2" s="1"/>
  <c r="P10" i="2" s="1"/>
  <c r="J11" i="1"/>
  <c r="I11" i="1"/>
  <c r="G10" i="2" s="1"/>
  <c r="H11" i="1"/>
  <c r="F10" i="2" s="1"/>
  <c r="Q10" i="1"/>
  <c r="P10" i="1"/>
  <c r="M9" i="2" s="1"/>
  <c r="N9" i="2" s="1"/>
  <c r="O10" i="1"/>
  <c r="N10" i="1"/>
  <c r="O9" i="2" s="1"/>
  <c r="P9" i="2" s="1"/>
  <c r="J10" i="1"/>
  <c r="I10" i="1"/>
  <c r="G9" i="2" s="1"/>
  <c r="H10" i="1"/>
  <c r="F9" i="2" s="1"/>
  <c r="J9" i="2" s="1"/>
  <c r="Q9" i="1"/>
  <c r="P9" i="1"/>
  <c r="M8" i="2" s="1"/>
  <c r="N8" i="2" s="1"/>
  <c r="O9" i="1"/>
  <c r="N9" i="1"/>
  <c r="J9" i="1"/>
  <c r="I9" i="1"/>
  <c r="G8" i="2" s="1"/>
  <c r="H9" i="1"/>
  <c r="F8" i="2" s="1"/>
  <c r="J8" i="2" s="1"/>
  <c r="Q8" i="1"/>
  <c r="P8" i="1"/>
  <c r="M7" i="2" s="1"/>
  <c r="N7" i="2" s="1"/>
  <c r="O8" i="1"/>
  <c r="N8" i="1"/>
  <c r="J8" i="1"/>
  <c r="I8" i="1"/>
  <c r="G7" i="2" s="1"/>
  <c r="H8" i="1"/>
  <c r="F7" i="2" s="1"/>
  <c r="J7" i="2" s="1"/>
  <c r="Q7" i="1"/>
  <c r="P7" i="1"/>
  <c r="M6" i="2" s="1"/>
  <c r="N6" i="2" s="1"/>
  <c r="N7" i="1"/>
  <c r="J7" i="1"/>
  <c r="I7" i="1"/>
  <c r="G6" i="2" s="1"/>
  <c r="H7" i="1"/>
  <c r="F6" i="2" s="1"/>
  <c r="J6" i="2" s="1"/>
  <c r="S6" i="1"/>
  <c r="D5" i="2" s="1"/>
  <c r="E5" i="2" s="1"/>
  <c r="Q6" i="1"/>
  <c r="P6" i="1"/>
  <c r="M5" i="2" s="1"/>
  <c r="N5" i="2" s="1"/>
  <c r="O6" i="1"/>
  <c r="N6" i="1"/>
  <c r="O5" i="2" s="1"/>
  <c r="P5" i="2" s="1"/>
  <c r="J6" i="1"/>
  <c r="I6" i="1"/>
  <c r="G5" i="2" s="1"/>
  <c r="H6" i="1"/>
  <c r="F5" i="2" s="1"/>
  <c r="J5" i="2" s="1"/>
  <c r="O8" i="2" l="1"/>
  <c r="P8" i="2" s="1"/>
  <c r="O7" i="2"/>
  <c r="P7" i="2" s="1"/>
  <c r="O20" i="2"/>
  <c r="P20" i="2" s="1"/>
  <c r="O21" i="2"/>
  <c r="P21" i="2" s="1"/>
  <c r="M15" i="2"/>
  <c r="N15" i="2" s="1"/>
  <c r="M12" i="2"/>
  <c r="N12" i="2" s="1"/>
  <c r="M13" i="2"/>
  <c r="N13" i="2" s="1"/>
  <c r="K18" i="2"/>
  <c r="J15" i="2"/>
  <c r="H15" i="2"/>
  <c r="H17" i="2"/>
  <c r="J17" i="2"/>
  <c r="H7" i="2"/>
  <c r="H12" i="2"/>
  <c r="I12" i="2" s="1"/>
  <c r="J12" i="2"/>
  <c r="J14" i="2"/>
  <c r="H14" i="2"/>
  <c r="R16" i="1"/>
  <c r="S16" i="1"/>
  <c r="D15" i="2" s="1"/>
  <c r="E15" i="2" s="1"/>
  <c r="H6" i="2"/>
  <c r="H11" i="2"/>
  <c r="J11" i="2"/>
  <c r="J13" i="2"/>
  <c r="H13" i="2"/>
  <c r="M7" i="1"/>
  <c r="O6" i="2"/>
  <c r="P6" i="2" s="1"/>
  <c r="J10" i="2"/>
  <c r="H10" i="2"/>
  <c r="K5" i="2"/>
  <c r="J16" i="2"/>
  <c r="H16" i="2"/>
  <c r="H5" i="2"/>
  <c r="I5" i="2" s="1"/>
  <c r="H9" i="2"/>
  <c r="O17" i="2"/>
  <c r="P17" i="2" s="1"/>
  <c r="J18" i="2"/>
  <c r="H18" i="2"/>
  <c r="I18" i="2" s="1"/>
  <c r="J19" i="2"/>
  <c r="H19" i="2"/>
  <c r="J20" i="2"/>
  <c r="H20" i="2"/>
  <c r="H21" i="2"/>
  <c r="J21" i="2"/>
  <c r="H8" i="2"/>
  <c r="O23" i="1"/>
  <c r="L24" i="1" s="1"/>
  <c r="S17" i="1"/>
  <c r="D16" i="2" s="1"/>
  <c r="E16" i="2" s="1"/>
  <c r="S7" i="1"/>
  <c r="D6" i="2" s="1"/>
  <c r="E6" i="2" s="1"/>
  <c r="M8" i="1"/>
  <c r="S8" i="1"/>
  <c r="D7" i="2" s="1"/>
  <c r="E7" i="2" s="1"/>
  <c r="M9" i="1"/>
  <c r="S9" i="1"/>
  <c r="D8" i="2" s="1"/>
  <c r="E8" i="2" s="1"/>
  <c r="M10" i="1"/>
  <c r="S10" i="1"/>
  <c r="D9" i="2" s="1"/>
  <c r="E9" i="2" s="1"/>
  <c r="M11" i="1"/>
  <c r="S11" i="1"/>
  <c r="D10" i="2" s="1"/>
  <c r="E10" i="2" s="1"/>
  <c r="M12" i="1"/>
  <c r="S14" i="1"/>
  <c r="D13" i="2" s="1"/>
  <c r="E13" i="2" s="1"/>
  <c r="W16" i="1"/>
  <c r="M17" i="1"/>
  <c r="R17" i="1"/>
  <c r="O11" i="2"/>
  <c r="P11" i="2" s="1"/>
  <c r="O12" i="2"/>
  <c r="P12" i="2" s="1"/>
  <c r="O14" i="2"/>
  <c r="P14" i="2" s="1"/>
  <c r="O15" i="2"/>
  <c r="P15" i="2" s="1"/>
  <c r="O18" i="2"/>
  <c r="P18" i="2" s="1"/>
  <c r="O19" i="2"/>
  <c r="P19" i="2" s="1"/>
  <c r="W13" i="1"/>
  <c r="H23" i="1"/>
  <c r="F22" i="2" s="1"/>
  <c r="W7" i="1"/>
  <c r="L25" i="1"/>
  <c r="U9" i="1"/>
  <c r="U10" i="1"/>
  <c r="U11" i="1"/>
  <c r="S30" i="1"/>
  <c r="T15" i="1"/>
  <c r="Z15" i="1" s="1"/>
  <c r="U19" i="1"/>
  <c r="P23" i="1"/>
  <c r="M22" i="2" s="1"/>
  <c r="N22" i="2" s="1"/>
  <c r="U7" i="1"/>
  <c r="U8" i="1"/>
  <c r="M6" i="1"/>
  <c r="W6" i="1" s="1"/>
  <c r="Q23" i="1"/>
  <c r="U6" i="1"/>
  <c r="R7" i="1"/>
  <c r="V7" i="1"/>
  <c r="R8" i="1"/>
  <c r="R9" i="1"/>
  <c r="V9" i="1"/>
  <c r="R10" i="1"/>
  <c r="R11" i="1"/>
  <c r="V11" i="1"/>
  <c r="S12" i="1"/>
  <c r="D11" i="2" s="1"/>
  <c r="E11" i="2" s="1"/>
  <c r="T13" i="1"/>
  <c r="Z13" i="1" s="1"/>
  <c r="U14" i="1"/>
  <c r="M15" i="1"/>
  <c r="V16" i="1"/>
  <c r="U16" i="1"/>
  <c r="T17" i="1"/>
  <c r="Z17" i="1" s="1"/>
  <c r="M18" i="1"/>
  <c r="R18" i="1"/>
  <c r="S20" i="1"/>
  <c r="D19" i="2" s="1"/>
  <c r="E19" i="2" s="1"/>
  <c r="R20" i="1"/>
  <c r="S22" i="1"/>
  <c r="D21" i="2" s="1"/>
  <c r="E21" i="2" s="1"/>
  <c r="R22" i="1"/>
  <c r="N23" i="1"/>
  <c r="T6" i="1"/>
  <c r="R6" i="1"/>
  <c r="V6" i="1"/>
  <c r="T12" i="1"/>
  <c r="Z12" i="1" s="1"/>
  <c r="U13" i="1"/>
  <c r="M14" i="1"/>
  <c r="W14" i="1" s="1"/>
  <c r="V14" i="1"/>
  <c r="U17" i="1"/>
  <c r="S18" i="1"/>
  <c r="D17" i="2" s="1"/>
  <c r="E17" i="2" s="1"/>
  <c r="V19" i="1"/>
  <c r="T20" i="1"/>
  <c r="Z20" i="1" s="1"/>
  <c r="T22" i="1"/>
  <c r="Z22" i="1" s="1"/>
  <c r="T7" i="1"/>
  <c r="Z7" i="1" s="1"/>
  <c r="T8" i="1"/>
  <c r="Z8" i="1" s="1"/>
  <c r="T9" i="1"/>
  <c r="Z9" i="1" s="1"/>
  <c r="T10" i="1"/>
  <c r="Z10" i="1" s="1"/>
  <c r="T11" i="1"/>
  <c r="Z11" i="1" s="1"/>
  <c r="V13" i="1"/>
  <c r="S15" i="1"/>
  <c r="D14" i="2" s="1"/>
  <c r="E14" i="2" s="1"/>
  <c r="W20" i="1"/>
  <c r="S21" i="1"/>
  <c r="D20" i="2" s="1"/>
  <c r="E20" i="2" s="1"/>
  <c r="R21" i="1"/>
  <c r="J23" i="1"/>
  <c r="T18" i="1"/>
  <c r="Z18" i="1" s="1"/>
  <c r="M21" i="1"/>
  <c r="W21" i="1" s="1"/>
  <c r="M22" i="1"/>
  <c r="W22" i="1" s="1"/>
  <c r="I8" i="2" l="1"/>
  <c r="W11" i="1"/>
  <c r="W9" i="1"/>
  <c r="K21" i="2"/>
  <c r="I15" i="2"/>
  <c r="I21" i="2"/>
  <c r="K15" i="2"/>
  <c r="K19" i="2"/>
  <c r="I6" i="2"/>
  <c r="K10" i="2"/>
  <c r="I20" i="2"/>
  <c r="K9" i="2"/>
  <c r="K13" i="2"/>
  <c r="I11" i="2"/>
  <c r="K17" i="2"/>
  <c r="I14" i="2"/>
  <c r="K11" i="2"/>
  <c r="K16" i="2"/>
  <c r="I9" i="2"/>
  <c r="K14" i="2"/>
  <c r="K20" i="2"/>
  <c r="J22" i="2"/>
  <c r="J23" i="2" s="1"/>
  <c r="H22" i="2"/>
  <c r="W10" i="1"/>
  <c r="W8" i="1"/>
  <c r="V17" i="1"/>
  <c r="X17" i="1" s="1"/>
  <c r="O22" i="2"/>
  <c r="P22" i="2" s="1"/>
  <c r="X16" i="1"/>
  <c r="V10" i="1"/>
  <c r="V8" i="1"/>
  <c r="X8" i="1" s="1"/>
  <c r="W17" i="1"/>
  <c r="I19" i="2"/>
  <c r="I16" i="2"/>
  <c r="K6" i="2"/>
  <c r="I10" i="2"/>
  <c r="I13" i="2"/>
  <c r="K8" i="2"/>
  <c r="I7" i="2"/>
  <c r="I17" i="2"/>
  <c r="K7" i="2"/>
  <c r="W15" i="1"/>
  <c r="V12" i="1"/>
  <c r="R23" i="1"/>
  <c r="Q24" i="1"/>
  <c r="S23" i="1"/>
  <c r="D22" i="2" s="1"/>
  <c r="P24" i="1"/>
  <c r="T28" i="1" s="1"/>
  <c r="U28" i="1" s="1"/>
  <c r="Q25" i="1"/>
  <c r="Q29" i="1" s="1"/>
  <c r="R29" i="1" s="1"/>
  <c r="P25" i="1"/>
  <c r="V20" i="1"/>
  <c r="X20" i="1" s="1"/>
  <c r="X9" i="1"/>
  <c r="X13" i="1"/>
  <c r="M23" i="1"/>
  <c r="N24" i="1"/>
  <c r="U24" i="1"/>
  <c r="X14" i="1"/>
  <c r="V21" i="1"/>
  <c r="X21" i="1" s="1"/>
  <c r="V18" i="1"/>
  <c r="V15" i="1"/>
  <c r="X15" i="1" s="1"/>
  <c r="T23" i="1"/>
  <c r="Z6" i="1"/>
  <c r="X19" i="1"/>
  <c r="X11" i="1"/>
  <c r="W12" i="1"/>
  <c r="W18" i="1"/>
  <c r="U23" i="1"/>
  <c r="X6" i="1"/>
  <c r="X7" i="1"/>
  <c r="V22" i="1"/>
  <c r="X22" i="1" s="1"/>
  <c r="X10" i="1" l="1"/>
  <c r="E22" i="2"/>
  <c r="I22" i="2" s="1"/>
  <c r="I23" i="2" s="1"/>
  <c r="K22" i="2"/>
  <c r="W23" i="1"/>
  <c r="X23" i="1"/>
  <c r="X24" i="1" s="1"/>
  <c r="H23" i="2"/>
  <c r="X18" i="1"/>
  <c r="S25" i="1"/>
  <c r="X12" i="1"/>
  <c r="Y23" i="1"/>
  <c r="Z23" i="1"/>
  <c r="T25" i="1"/>
  <c r="Q28" i="1"/>
  <c r="V23" i="1"/>
  <c r="K23" i="2" l="1"/>
</calcChain>
</file>

<file path=xl/sharedStrings.xml><?xml version="1.0" encoding="utf-8"?>
<sst xmlns="http://schemas.openxmlformats.org/spreadsheetml/2006/main" count="1067" uniqueCount="272">
  <si>
    <t xml:space="preserve">I. REPORTE IMPACTO GASTO Y RENDIMIENTO VS. PRESUPUESTOS </t>
  </si>
  <si>
    <t>1) RESUMEN REPORTE DE VENTAS</t>
  </si>
  <si>
    <t>2) GASTO POR OP</t>
  </si>
  <si>
    <t>3) PRESUPUESTO</t>
  </si>
  <si>
    <t>4) DESVIACIONES REAL VS. PRESUPUESTO</t>
  </si>
  <si>
    <t>COSTO REAL PRODUCCION</t>
  </si>
  <si>
    <t>COSTO ESTIMADO DE PRODUCCION</t>
  </si>
  <si>
    <t>DESVIACIONES DE PRODUCCION Y GASTOS DE PRODUCCION</t>
  </si>
  <si>
    <t>Lote</t>
  </si>
  <si>
    <t>Suma de Cantidad</t>
  </si>
  <si>
    <t>Suma de V.Venta dol</t>
  </si>
  <si>
    <t>Suma de Costo dol</t>
  </si>
  <si>
    <t>Suma de Utilidad dol</t>
  </si>
  <si>
    <t>v.v. u.</t>
  </si>
  <si>
    <t>c.v.u.</t>
  </si>
  <si>
    <t>% c.v.u.</t>
  </si>
  <si>
    <t>Cantidad Producida según Gto. Por OP</t>
  </si>
  <si>
    <t>Costo Unitario de Poducc. X OP</t>
  </si>
  <si>
    <t>Costo de Producción Por OP</t>
  </si>
  <si>
    <t>hras sembradas</t>
  </si>
  <si>
    <t>PRODUCCION ESTIMADA POR OP</t>
  </si>
  <si>
    <t>COSTO ESTIMADO POR OP</t>
  </si>
  <si>
    <t>COSTO X HA ESTIMADO</t>
  </si>
  <si>
    <t>COSTO UNITAIO POR KILO</t>
  </si>
  <si>
    <t>MAYOR (MENOR) VOLUMEN DE PRODUCCION</t>
  </si>
  <si>
    <t>MAYOR (MENOR) GASTO POR OP</t>
  </si>
  <si>
    <t>MAYOR (MENOR) COSTO POR RENDIMEINTO</t>
  </si>
  <si>
    <t>MAYOR (MENOR) COSTO TOTAL CAMPAÑO 2024</t>
  </si>
  <si>
    <t>VALIDACION</t>
  </si>
  <si>
    <t>01I2024</t>
  </si>
  <si>
    <t>02I2024</t>
  </si>
  <si>
    <t>03I2024</t>
  </si>
  <si>
    <t>04I2024</t>
  </si>
  <si>
    <t>05I2024</t>
  </si>
  <si>
    <t>06I2024</t>
  </si>
  <si>
    <t>07I2024</t>
  </si>
  <si>
    <t>08I2024</t>
  </si>
  <si>
    <t>01V2024</t>
  </si>
  <si>
    <t>02V2024</t>
  </si>
  <si>
    <t>03V2024</t>
  </si>
  <si>
    <t>04V2024</t>
  </si>
  <si>
    <t>05V2024</t>
  </si>
  <si>
    <t>09V2024</t>
  </si>
  <si>
    <t>07V2024</t>
  </si>
  <si>
    <t>08V2024</t>
  </si>
  <si>
    <t>06V2024</t>
  </si>
  <si>
    <t>Total Genral</t>
  </si>
  <si>
    <t>ANALISIS DEL RESULTADO POR CONTENEDOR-FACTURA DE EXPORTACION</t>
  </si>
  <si>
    <t>Estimado</t>
  </si>
  <si>
    <t>REAL</t>
  </si>
  <si>
    <t>Explicación Diferencia</t>
  </si>
  <si>
    <t>DESVIACIONES DE PRODUCCION Y GASTOS DE PRODUCCION EN PORCENTAJES</t>
  </si>
  <si>
    <t>Valor de Venta estimado</t>
  </si>
  <si>
    <t>Costo de Ventas Estimado</t>
  </si>
  <si>
    <t>Margen Unita X Contenedor Estimado</t>
  </si>
  <si>
    <t>Valor de Vta Real</t>
  </si>
  <si>
    <t>Costo de Vtas. Real</t>
  </si>
  <si>
    <t>Margen Unita X Contenedor</t>
  </si>
  <si>
    <t>Dif. Margen Unitario</t>
  </si>
  <si>
    <t>Variación X Valor Vta.</t>
  </si>
  <si>
    <t xml:space="preserve"> =-(Mayor Variación X Costo de Ventas)</t>
  </si>
  <si>
    <t>Mayor (Menor) Rendimiento Cantidad</t>
  </si>
  <si>
    <t>% Mayor (Menor) Rendimiento</t>
  </si>
  <si>
    <t>Mayor (Menor) costo de Producc.</t>
  </si>
  <si>
    <t>% Mayor (Menor) costo de Producc.</t>
  </si>
  <si>
    <t>AGRILOR (CEBOLLA CONVENCIONAL)</t>
  </si>
  <si>
    <t>RESUMEN POR UNIDAD DE PRODUCCIÓN CAMPAÑA 2024-25</t>
  </si>
  <si>
    <t>Hetareas Sembradas</t>
  </si>
  <si>
    <t>Rendimeintos Kilos X Ha.</t>
  </si>
  <si>
    <t>Rendimeintos X Contenedor</t>
  </si>
  <si>
    <t>PRESUPUESTO</t>
  </si>
  <si>
    <t>DIFERENCIAS</t>
  </si>
  <si>
    <t>USD</t>
  </si>
  <si>
    <t>ALMACIGO</t>
  </si>
  <si>
    <t xml:space="preserve">CEBOLLA </t>
  </si>
  <si>
    <t>PACKING</t>
  </si>
  <si>
    <t>TOTAL</t>
  </si>
  <si>
    <t>COMPARACIÓN RESUMEN POR RUBRO POR PROCESO PRODUCTIVO</t>
  </si>
  <si>
    <t>RESUMEN POR RUBRO</t>
  </si>
  <si>
    <t xml:space="preserve">PRESUPUESTO </t>
  </si>
  <si>
    <t>DIFERENCIAS IMPORTE</t>
  </si>
  <si>
    <t>DIFERENCIAS PORCENTAJE</t>
  </si>
  <si>
    <t>CAMPO DEFINITIVO</t>
  </si>
  <si>
    <t>TOTAL PRESUPUESTO</t>
  </si>
  <si>
    <t>TOTAL REAL</t>
  </si>
  <si>
    <t>Semilla</t>
  </si>
  <si>
    <t>Alquiler de campo</t>
  </si>
  <si>
    <t>Accesorios de riego</t>
  </si>
  <si>
    <t>Materia Orgánica</t>
  </si>
  <si>
    <t>Agua</t>
  </si>
  <si>
    <t>Alquiler de Maquinaria</t>
  </si>
  <si>
    <t>Fertilizantes / Abono Organico</t>
  </si>
  <si>
    <t>Agroquimicos / Foliares</t>
  </si>
  <si>
    <t>Personal Eventual s/ contrato</t>
  </si>
  <si>
    <t>Transport costs</t>
  </si>
  <si>
    <t>Arpillas Campo</t>
  </si>
  <si>
    <t>Servicio de terceros</t>
  </si>
  <si>
    <t>Certificación HACCP/SENASA</t>
  </si>
  <si>
    <t>Estiba por contenedor</t>
  </si>
  <si>
    <t>Gas Montacargas</t>
  </si>
  <si>
    <t>Energía Packing</t>
  </si>
  <si>
    <t>Depreciaciones</t>
  </si>
  <si>
    <t>MANTENIMIENTO Y REPARACION</t>
  </si>
  <si>
    <t>SUMINISTROS</t>
  </si>
  <si>
    <t>VARIOS</t>
  </si>
  <si>
    <t>SHUMAN (CEBOLLA ORGANICA)</t>
  </si>
  <si>
    <t>CEBOLLA</t>
  </si>
  <si>
    <t/>
  </si>
  <si>
    <t>C.Costo</t>
  </si>
  <si>
    <t>Cuenta</t>
  </si>
  <si>
    <t>Enero</t>
  </si>
  <si>
    <t>Febrero</t>
  </si>
  <si>
    <t>Marzo</t>
  </si>
  <si>
    <t>Abril</t>
  </si>
  <si>
    <t>Mayo</t>
  </si>
  <si>
    <t>Junio</t>
  </si>
  <si>
    <t>Total</t>
  </si>
  <si>
    <t>N°</t>
  </si>
  <si>
    <t>Código</t>
  </si>
  <si>
    <t>Descripción</t>
  </si>
  <si>
    <t>Presupuesto</t>
  </si>
  <si>
    <t>Ejecutado</t>
  </si>
  <si>
    <t>Diferencia.</t>
  </si>
  <si>
    <t>ALMACIGO CENTURY</t>
  </si>
  <si>
    <t>Materiales auxiliares</t>
  </si>
  <si>
    <t>Transporte de pasajeros</t>
  </si>
  <si>
    <t>Alquiler maquinarias y equipos de explotacion</t>
  </si>
  <si>
    <t>Alquiler equipos diversos</t>
  </si>
  <si>
    <t>SEMILLA</t>
  </si>
  <si>
    <t>FERTILIZANTE</t>
  </si>
  <si>
    <t>AGROQUIMICOS &amp; FOLIAR</t>
  </si>
  <si>
    <t>ACCESORIOS DE RIEGO</t>
  </si>
  <si>
    <t>MATERIA ORGANICA</t>
  </si>
  <si>
    <t>ALMACIGO CAMPO LINDO</t>
  </si>
  <si>
    <t>Otros Servicios</t>
  </si>
  <si>
    <t>PACKING PRODUCTOS TERMINADOS</t>
  </si>
  <si>
    <t>Envases</t>
  </si>
  <si>
    <t>Capacitacion</t>
  </si>
  <si>
    <t>Atencion al personal</t>
  </si>
  <si>
    <t>Alquiler terrenos</t>
  </si>
  <si>
    <t>Energia electrica</t>
  </si>
  <si>
    <t>Publicaciones y/o impresiones</t>
  </si>
  <si>
    <t>Deprec. maquinarias y equipos de  explotacion - costo</t>
  </si>
  <si>
    <t>Cebolla de campo</t>
  </si>
  <si>
    <t>Combustible</t>
  </si>
  <si>
    <t>Transporte de carga interna de cebollla</t>
  </si>
  <si>
    <t>MODULO 01</t>
  </si>
  <si>
    <t>Plantines de Cebolla</t>
  </si>
  <si>
    <t>MODULO 02</t>
  </si>
  <si>
    <t>MODULO 03</t>
  </si>
  <si>
    <t>MODULO 04</t>
  </si>
  <si>
    <t>MODULO 05</t>
  </si>
  <si>
    <t>MODULO 06</t>
  </si>
  <si>
    <t>Otros Asesorias - Produccion</t>
  </si>
  <si>
    <t>Suministos</t>
  </si>
  <si>
    <t>MODULO 07</t>
  </si>
  <si>
    <t>MODULO 08</t>
  </si>
  <si>
    <t>PECANOS</t>
  </si>
  <si>
    <t>PALTOS</t>
  </si>
  <si>
    <t>CITRICOS</t>
  </si>
  <si>
    <t>CHORRERA UVA</t>
  </si>
  <si>
    <t>Deprec. Edificaciones - costo</t>
  </si>
  <si>
    <t>MODULO ESPAÑA</t>
  </si>
  <si>
    <t>ALMACEN</t>
  </si>
  <si>
    <t>Utiles de limpieza</t>
  </si>
  <si>
    <t>Mant. Y reparac.Propiedad, planta y equipo</t>
  </si>
  <si>
    <t>Deprec. equipos diversos - costo</t>
  </si>
  <si>
    <t>Otros servicios prestados por terceros</t>
  </si>
  <si>
    <t>Botiquin</t>
  </si>
  <si>
    <t>COMEDOR PERSONAL</t>
  </si>
  <si>
    <t>GLOBAL GAP</t>
  </si>
  <si>
    <t>Sueldos</t>
  </si>
  <si>
    <t>Gratificaciones - sueldos</t>
  </si>
  <si>
    <t>Vacaciones - sueldos</t>
  </si>
  <si>
    <t>Regimen de presetaciones de salud</t>
  </si>
  <si>
    <t>Compensacion de Cts - Empleados</t>
  </si>
  <si>
    <t>Gastos bancarios</t>
  </si>
  <si>
    <t>Gastos de laboratorio</t>
  </si>
  <si>
    <t>JORNALES ASIGNADOS A GASTOS DIRECTOS</t>
  </si>
  <si>
    <t>Repuestos</t>
  </si>
  <si>
    <t>Salarios</t>
  </si>
  <si>
    <t>Gratificaciones - salarios</t>
  </si>
  <si>
    <t>Vacaciones - salarios</t>
  </si>
  <si>
    <t>Seguro de vida</t>
  </si>
  <si>
    <t>Seg.partic.prest.salud-EPS</t>
  </si>
  <si>
    <t>Compensacion de Cts - Obreros</t>
  </si>
  <si>
    <t>Transporte de carga</t>
  </si>
  <si>
    <t>Mant. Y reparac.Inversion inmobiliaria</t>
  </si>
  <si>
    <t>Alquiler equipo de transporte</t>
  </si>
  <si>
    <t>Gas</t>
  </si>
  <si>
    <t>Internet</t>
  </si>
  <si>
    <t>Impuesto al traimonio vehicular</t>
  </si>
  <si>
    <t>Seguros</t>
  </si>
  <si>
    <t>Donaciones</t>
  </si>
  <si>
    <t>Diferencias de cambio</t>
  </si>
  <si>
    <t>Deprec. equipos de transporte - costo</t>
  </si>
  <si>
    <t>Correos</t>
  </si>
  <si>
    <t>Asignacion familiar</t>
  </si>
  <si>
    <t>Horas extras 25%</t>
  </si>
  <si>
    <t>Horas extras 35%</t>
  </si>
  <si>
    <t>Horas extras Dobles</t>
  </si>
  <si>
    <t>Utiles de oficina</t>
  </si>
  <si>
    <t>Gastos peajes</t>
  </si>
  <si>
    <t>Atenciones medicas</t>
  </si>
  <si>
    <t>TALLER DE MAESTRANZA</t>
  </si>
  <si>
    <t>INSTALACION RIEGO - I 50HAS</t>
  </si>
  <si>
    <t>POZO J1</t>
  </si>
  <si>
    <t>POZO J2</t>
  </si>
  <si>
    <t>POZO J3</t>
  </si>
  <si>
    <t>POZO J4</t>
  </si>
  <si>
    <t>POZO J5</t>
  </si>
  <si>
    <t>ZONA DE REBOMBEO</t>
  </si>
  <si>
    <t>RESERVORIO</t>
  </si>
  <si>
    <t>CONSTRUCCION DE CARRETERA</t>
  </si>
  <si>
    <t>INSTALACION RIEGO - II 50 HAS</t>
  </si>
  <si>
    <t>POZOS</t>
  </si>
  <si>
    <t>INSTALACION DE RIEGO - III 60HAS</t>
  </si>
  <si>
    <t>CONSTRUCCION DE PACKING</t>
  </si>
  <si>
    <t>CAMPAMENTO</t>
  </si>
  <si>
    <t>SISTEMA DE RIEGO 60HAS 2021</t>
  </si>
  <si>
    <t>MAQUINA PROCESADORA N° 1 - PACKING</t>
  </si>
  <si>
    <t>MAQUINA PROCESADORA N° 2 - PACKING</t>
  </si>
  <si>
    <t>MAQUINA PARA EMPAQUE 2560</t>
  </si>
  <si>
    <t>MAQUINA PARA EMPAQUE 2561</t>
  </si>
  <si>
    <t>COMPRENSORA</t>
  </si>
  <si>
    <t>MAQUINA PARA EMPAQUE 2591-23</t>
  </si>
  <si>
    <t>MAQUINA PARA EMPAQUE 2592-23</t>
  </si>
  <si>
    <t>BINS</t>
  </si>
  <si>
    <t>VOLCADOR DE BINS</t>
  </si>
  <si>
    <t>MONTACARGA</t>
  </si>
  <si>
    <t>GERENCIA GENERAL</t>
  </si>
  <si>
    <t>Seg.partic.prest.salud-eps</t>
  </si>
  <si>
    <t>Provision CTS - Empleados</t>
  </si>
  <si>
    <t>Otros gastos de viaje - Exterior</t>
  </si>
  <si>
    <t>CONTABILIDAD</t>
  </si>
  <si>
    <t>Auditoria y contable</t>
  </si>
  <si>
    <t>Servicios de contabilidad</t>
  </si>
  <si>
    <t>ADMINISTRACION PLANTA</t>
  </si>
  <si>
    <t>Retribuciones al directorio</t>
  </si>
  <si>
    <t>Asesoria administrativa</t>
  </si>
  <si>
    <t>Asesoria legal y tributaria</t>
  </si>
  <si>
    <t>Otros</t>
  </si>
  <si>
    <t>Telefono</t>
  </si>
  <si>
    <t>Impuesto a las transacciones financieras</t>
  </si>
  <si>
    <t>Impuesto predial</t>
  </si>
  <si>
    <t>Licencias y derechos de vigencia</t>
  </si>
  <si>
    <t>Servicios y gastos no deducibles</t>
  </si>
  <si>
    <t>Sanciones administrativas - sunat multas</t>
  </si>
  <si>
    <t>Sanciones administrativas - otras entidades del sector publico</t>
  </si>
  <si>
    <t>Edificaciones - costo</t>
  </si>
  <si>
    <t>Deprec. muebles y enseres - costo</t>
  </si>
  <si>
    <t>Gastos de representacion</t>
  </si>
  <si>
    <t>Movilidad</t>
  </si>
  <si>
    <t>Servicios legales</t>
  </si>
  <si>
    <t>Servicios notariales y legalizaciones</t>
  </si>
  <si>
    <t>Servicios de impresión</t>
  </si>
  <si>
    <t>Mantenimiento y portes de cuenta corriente</t>
  </si>
  <si>
    <t>Fotocopias, anillados y empastados</t>
  </si>
  <si>
    <t>GASTOS FINANCIEROS.</t>
  </si>
  <si>
    <t>Comision por operaciones realizadas</t>
  </si>
  <si>
    <t>Comisiones por transferencia al exterior</t>
  </si>
  <si>
    <t>LOGISTICA</t>
  </si>
  <si>
    <t>CHORRERA - CASA</t>
  </si>
  <si>
    <t>FINANZAS.</t>
  </si>
  <si>
    <t>Intereses instituciones financieras</t>
  </si>
  <si>
    <t>Contratos de arrendamiento financiero</t>
  </si>
  <si>
    <t>Intereses otras entidades</t>
  </si>
  <si>
    <t>Inversiones para negociacion</t>
  </si>
  <si>
    <t>COMERCIALIZACION.</t>
  </si>
  <si>
    <t>SERVICIO POR ENCARGO</t>
  </si>
  <si>
    <t>INGRESOS</t>
  </si>
  <si>
    <t>Totales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</si>
</sst>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_ * #,##0_ ;_ * \-#,##0_ ;_ * &quot;-&quot;??_ ;_ @_ "/>
    <numFmt numFmtId="165" formatCode="_ * #,##0.0000_ ;_ * \-#,##0.0000_ ;_ * &quot;-&quot;??_ ;_ @_ "/>
    <numFmt numFmtId="166" formatCode="_-* #,##0.00_-;\-* #,##0.00_-;_-* &quot;-&quot;??_-;_-@_-"/>
    <numFmt numFmtId="167" formatCode="0.0%"/>
    <numFmt numFmtId="168" formatCode="[$$-45C]#,##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.25"/>
      <color indexed="8"/>
      <name val="Tahoma"/>
      <family val="2"/>
    </font>
    <font>
      <sz val="11"/>
      <name val="Calibri"/>
      <family val="2"/>
    </font>
    <font>
      <b/>
      <sz val="7"/>
      <color indexed="8"/>
      <name val="Tahoma"/>
      <family val="2"/>
    </font>
    <font>
      <b/>
      <sz val="8"/>
      <color theme="1"/>
      <name val="Calibri"/>
      <family val="2"/>
    </font>
    <font>
      <sz val="8"/>
      <color theme="1"/>
      <name val="Calibri"/>
      <family val="2"/>
      <scheme val="minor"/>
    </font>
    <font>
      <b/>
      <sz val="8"/>
      <color theme="1"/>
      <name val="Tahoma"/>
      <family val="2"/>
    </font>
    <font>
      <b/>
      <sz val="8"/>
      <name val="Calibri"/>
      <family val="2"/>
    </font>
    <font>
      <b/>
      <sz val="7"/>
      <name val="Calibri"/>
      <family val="2"/>
    </font>
    <font>
      <sz val="8"/>
      <name val="Calibri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8"/>
      <color rgb="FFFF0000"/>
      <name val="Calibri"/>
      <family val="2"/>
    </font>
    <font>
      <sz val="8"/>
      <color rgb="FFFF00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indexed="8"/>
      <name val="Tahoma"/>
      <family val="2"/>
    </font>
    <font>
      <sz val="11"/>
      <name val="Calibri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u/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0C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theme="4" tint="0.39997558519241921"/>
      </bottom>
      <diagonal/>
    </border>
    <border>
      <left/>
      <right/>
      <top style="medium">
        <color indexed="64"/>
      </top>
      <bottom style="thin">
        <color theme="4" tint="0.39997558519241921"/>
      </bottom>
      <diagonal/>
    </border>
    <border>
      <left/>
      <right style="medium">
        <color indexed="64"/>
      </right>
      <top style="medium">
        <color indexed="64"/>
      </top>
      <bottom style="thin">
        <color theme="4" tint="0.3999755851924192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theme="4" tint="0.3999755851924192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2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>
      <alignment vertical="center"/>
    </xf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0" fontId="5" fillId="0" borderId="0"/>
    <xf numFmtId="0" fontId="19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5" fillId="0" borderId="0" applyFont="0" applyFill="0" applyBorder="0" applyAlignment="0" applyProtection="0"/>
  </cellStyleXfs>
  <cellXfs count="211">
    <xf numFmtId="0" fontId="0" fillId="0" borderId="0" xfId="0"/>
    <xf numFmtId="164" fontId="0" fillId="0" borderId="0" xfId="1" applyNumberFormat="1" applyFont="1"/>
    <xf numFmtId="165" fontId="0" fillId="0" borderId="0" xfId="1" applyNumberFormat="1" applyFont="1"/>
    <xf numFmtId="0" fontId="3" fillId="0" borderId="0" xfId="0" applyFont="1"/>
    <xf numFmtId="0" fontId="4" fillId="0" borderId="0" xfId="3" applyAlignment="1"/>
    <xf numFmtId="0" fontId="7" fillId="2" borderId="8" xfId="0" applyFont="1" applyFill="1" applyBorder="1" applyAlignment="1">
      <alignment horizontal="center" vertical="center" wrapText="1"/>
    </xf>
    <xf numFmtId="164" fontId="7" fillId="2" borderId="8" xfId="0" applyNumberFormat="1" applyFont="1" applyFill="1" applyBorder="1" applyAlignment="1">
      <alignment horizontal="center" vertical="center" wrapText="1"/>
    </xf>
    <xf numFmtId="164" fontId="8" fillId="0" borderId="0" xfId="0" applyNumberFormat="1" applyFont="1"/>
    <xf numFmtId="164" fontId="9" fillId="2" borderId="0" xfId="5" applyNumberFormat="1" applyFont="1" applyFill="1" applyBorder="1" applyAlignment="1">
      <alignment horizontal="center" vertical="center" wrapText="1"/>
    </xf>
    <xf numFmtId="164" fontId="9" fillId="0" borderId="0" xfId="5" applyNumberFormat="1" applyFont="1" applyFill="1" applyBorder="1" applyAlignment="1">
      <alignment horizontal="center" vertical="center" wrapText="1"/>
    </xf>
    <xf numFmtId="164" fontId="10" fillId="3" borderId="9" xfId="1" applyNumberFormat="1" applyFont="1" applyFill="1" applyBorder="1" applyAlignment="1">
      <alignment horizontal="center" wrapText="1"/>
    </xf>
    <xf numFmtId="164" fontId="10" fillId="3" borderId="10" xfId="4" applyNumberFormat="1" applyFont="1" applyFill="1" applyBorder="1" applyAlignment="1">
      <alignment horizontal="center" wrapText="1"/>
    </xf>
    <xf numFmtId="164" fontId="10" fillId="3" borderId="11" xfId="1" applyNumberFormat="1" applyFont="1" applyFill="1" applyBorder="1" applyAlignment="1">
      <alignment horizontal="center" wrapText="1"/>
    </xf>
    <xf numFmtId="43" fontId="10" fillId="4" borderId="12" xfId="4" applyFont="1" applyFill="1" applyBorder="1" applyAlignment="1">
      <alignment horizontal="center" vertical="center" wrapText="1"/>
    </xf>
    <xf numFmtId="164" fontId="11" fillId="0" borderId="13" xfId="1" applyNumberFormat="1" applyFont="1" applyFill="1" applyBorder="1" applyAlignment="1">
      <alignment horizontal="center" vertical="center" wrapText="1"/>
    </xf>
    <xf numFmtId="164" fontId="11" fillId="0" borderId="13" xfId="1" applyNumberFormat="1" applyFont="1" applyBorder="1" applyAlignment="1">
      <alignment horizontal="center" vertical="center" wrapText="1"/>
    </xf>
    <xf numFmtId="165" fontId="11" fillId="0" borderId="14" xfId="1" applyNumberFormat="1" applyFont="1" applyBorder="1" applyAlignment="1">
      <alignment horizontal="center" vertical="center" wrapText="1"/>
    </xf>
    <xf numFmtId="164" fontId="11" fillId="0" borderId="12" xfId="1" applyNumberFormat="1" applyFont="1" applyBorder="1" applyAlignment="1">
      <alignment horizontal="center" vertical="center" wrapText="1"/>
    </xf>
    <xf numFmtId="164" fontId="11" fillId="0" borderId="14" xfId="1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/>
    </xf>
    <xf numFmtId="164" fontId="12" fillId="0" borderId="0" xfId="0" applyNumberFormat="1" applyFont="1"/>
    <xf numFmtId="164" fontId="12" fillId="0" borderId="0" xfId="0" applyNumberFormat="1" applyFont="1" applyAlignment="1">
      <alignment horizontal="center"/>
    </xf>
    <xf numFmtId="43" fontId="8" fillId="0" borderId="0" xfId="1" applyFont="1"/>
    <xf numFmtId="10" fontId="8" fillId="0" borderId="0" xfId="1" applyNumberFormat="1" applyFont="1"/>
    <xf numFmtId="164" fontId="8" fillId="0" borderId="0" xfId="1" applyNumberFormat="1" applyFont="1"/>
    <xf numFmtId="165" fontId="8" fillId="0" borderId="0" xfId="1" applyNumberFormat="1" applyFont="1"/>
    <xf numFmtId="0" fontId="8" fillId="0" borderId="0" xfId="0" applyFont="1"/>
    <xf numFmtId="166" fontId="0" fillId="0" borderId="0" xfId="0" applyNumberFormat="1"/>
    <xf numFmtId="164" fontId="0" fillId="0" borderId="0" xfId="0" applyNumberFormat="1"/>
    <xf numFmtId="9" fontId="0" fillId="0" borderId="0" xfId="2" applyFont="1"/>
    <xf numFmtId="167" fontId="8" fillId="0" borderId="0" xfId="2" applyNumberFormat="1" applyFont="1"/>
    <xf numFmtId="164" fontId="13" fillId="0" borderId="0" xfId="0" applyNumberFormat="1" applyFont="1"/>
    <xf numFmtId="43" fontId="13" fillId="0" borderId="0" xfId="1" applyFont="1"/>
    <xf numFmtId="167" fontId="13" fillId="0" borderId="0" xfId="2" applyNumberFormat="1" applyFont="1"/>
    <xf numFmtId="0" fontId="14" fillId="0" borderId="0" xfId="0" applyFont="1"/>
    <xf numFmtId="164" fontId="13" fillId="0" borderId="0" xfId="1" applyNumberFormat="1" applyFont="1"/>
    <xf numFmtId="165" fontId="13" fillId="0" borderId="0" xfId="1" applyNumberFormat="1" applyFont="1"/>
    <xf numFmtId="0" fontId="13" fillId="0" borderId="0" xfId="0" applyFont="1"/>
    <xf numFmtId="166" fontId="14" fillId="0" borderId="0" xfId="0" applyNumberFormat="1" applyFont="1"/>
    <xf numFmtId="164" fontId="14" fillId="0" borderId="0" xfId="1" applyNumberFormat="1" applyFont="1"/>
    <xf numFmtId="0" fontId="15" fillId="0" borderId="0" xfId="0" applyFont="1" applyAlignment="1">
      <alignment horizontal="left"/>
    </xf>
    <xf numFmtId="164" fontId="15" fillId="0" borderId="0" xfId="0" applyNumberFormat="1" applyFont="1"/>
    <xf numFmtId="164" fontId="15" fillId="0" borderId="0" xfId="0" applyNumberFormat="1" applyFont="1" applyAlignment="1">
      <alignment horizontal="center"/>
    </xf>
    <xf numFmtId="164" fontId="16" fillId="0" borderId="0" xfId="0" applyNumberFormat="1" applyFont="1"/>
    <xf numFmtId="43" fontId="16" fillId="0" borderId="0" xfId="1" applyFont="1"/>
    <xf numFmtId="167" fontId="16" fillId="0" borderId="0" xfId="2" applyNumberFormat="1" applyFont="1"/>
    <xf numFmtId="0" fontId="2" fillId="0" borderId="0" xfId="0" applyFont="1"/>
    <xf numFmtId="164" fontId="16" fillId="0" borderId="0" xfId="1" applyNumberFormat="1" applyFont="1"/>
    <xf numFmtId="165" fontId="16" fillId="0" borderId="0" xfId="1" applyNumberFormat="1" applyFont="1"/>
    <xf numFmtId="0" fontId="16" fillId="0" borderId="0" xfId="0" applyFont="1"/>
    <xf numFmtId="166" fontId="2" fillId="0" borderId="0" xfId="0" applyNumberFormat="1" applyFont="1"/>
    <xf numFmtId="0" fontId="7" fillId="2" borderId="15" xfId="0" applyFont="1" applyFill="1" applyBorder="1" applyAlignment="1">
      <alignment horizontal="left"/>
    </xf>
    <xf numFmtId="164" fontId="7" fillId="2" borderId="15" xfId="0" applyNumberFormat="1" applyFont="1" applyFill="1" applyBorder="1"/>
    <xf numFmtId="164" fontId="17" fillId="2" borderId="15" xfId="0" applyNumberFormat="1" applyFont="1" applyFill="1" applyBorder="1"/>
    <xf numFmtId="165" fontId="17" fillId="2" borderId="15" xfId="1" applyNumberFormat="1" applyFont="1" applyFill="1" applyBorder="1"/>
    <xf numFmtId="164" fontId="0" fillId="5" borderId="0" xfId="1" applyNumberFormat="1" applyFont="1" applyFill="1"/>
    <xf numFmtId="9" fontId="14" fillId="0" borderId="0" xfId="2" applyFont="1"/>
    <xf numFmtId="164" fontId="17" fillId="5" borderId="0" xfId="1" applyNumberFormat="1" applyFont="1" applyFill="1"/>
    <xf numFmtId="0" fontId="3" fillId="5" borderId="0" xfId="0" applyFont="1" applyFill="1"/>
    <xf numFmtId="167" fontId="0" fillId="0" borderId="0" xfId="2" applyNumberFormat="1" applyFont="1"/>
    <xf numFmtId="0" fontId="12" fillId="0" borderId="0" xfId="6" applyFont="1" applyAlignment="1">
      <alignment horizontal="center" vertical="center"/>
    </xf>
    <xf numFmtId="164" fontId="12" fillId="0" borderId="0" xfId="4" applyNumberFormat="1" applyFont="1" applyFill="1" applyBorder="1" applyAlignment="1">
      <alignment vertical="center"/>
    </xf>
    <xf numFmtId="164" fontId="12" fillId="0" borderId="0" xfId="1" applyNumberFormat="1" applyFont="1" applyFill="1" applyBorder="1" applyAlignment="1">
      <alignment horizontal="center" vertical="center"/>
    </xf>
    <xf numFmtId="165" fontId="18" fillId="0" borderId="0" xfId="1" applyNumberFormat="1" applyFont="1" applyFill="1" applyBorder="1" applyAlignment="1">
      <alignment vertical="center" wrapText="1"/>
    </xf>
    <xf numFmtId="164" fontId="18" fillId="0" borderId="0" xfId="3" applyNumberFormat="1" applyFont="1" applyAlignment="1">
      <alignment vertical="center" wrapText="1"/>
    </xf>
    <xf numFmtId="43" fontId="18" fillId="0" borderId="0" xfId="3" applyNumberFormat="1" applyFont="1" applyAlignment="1">
      <alignment vertical="center" wrapText="1"/>
    </xf>
    <xf numFmtId="0" fontId="18" fillId="0" borderId="0" xfId="3" applyFont="1" applyAlignment="1">
      <alignment vertical="center" wrapText="1"/>
    </xf>
    <xf numFmtId="164" fontId="7" fillId="2" borderId="16" xfId="0" applyNumberFormat="1" applyFont="1" applyFill="1" applyBorder="1" applyAlignment="1">
      <alignment horizontal="center" vertical="center" wrapText="1"/>
    </xf>
    <xf numFmtId="0" fontId="12" fillId="0" borderId="0" xfId="6" applyFont="1" applyAlignment="1">
      <alignment horizontal="center"/>
    </xf>
    <xf numFmtId="164" fontId="12" fillId="0" borderId="0" xfId="4" applyNumberFormat="1" applyFont="1" applyFill="1" applyBorder="1" applyAlignment="1">
      <alignment horizontal="center" vertical="center"/>
    </xf>
    <xf numFmtId="165" fontId="12" fillId="0" borderId="0" xfId="1" applyNumberFormat="1" applyFont="1" applyFill="1" applyBorder="1" applyAlignment="1">
      <alignment horizontal="center" vertical="center"/>
    </xf>
    <xf numFmtId="0" fontId="18" fillId="0" borderId="0" xfId="3" applyFont="1" applyAlignment="1">
      <alignment horizontal="center" vertical="center" wrapText="1"/>
    </xf>
    <xf numFmtId="164" fontId="7" fillId="2" borderId="19" xfId="0" applyNumberFormat="1" applyFont="1" applyFill="1" applyBorder="1"/>
    <xf numFmtId="0" fontId="10" fillId="6" borderId="16" xfId="6" applyFont="1" applyFill="1" applyBorder="1" applyAlignment="1">
      <alignment horizontal="center" vertical="center" wrapText="1"/>
    </xf>
    <xf numFmtId="0" fontId="10" fillId="6" borderId="17" xfId="6" applyFont="1" applyFill="1" applyBorder="1" applyAlignment="1">
      <alignment horizontal="center" vertical="center" wrapText="1"/>
    </xf>
    <xf numFmtId="0" fontId="10" fillId="6" borderId="18" xfId="6" applyFont="1" applyFill="1" applyBorder="1" applyAlignment="1">
      <alignment horizontal="center" vertical="center" wrapText="1"/>
    </xf>
    <xf numFmtId="164" fontId="7" fillId="2" borderId="19" xfId="0" applyNumberFormat="1" applyFont="1" applyFill="1" applyBorder="1" applyAlignment="1">
      <alignment horizontal="center" vertical="center" wrapText="1"/>
    </xf>
    <xf numFmtId="164" fontId="7" fillId="2" borderId="20" xfId="0" applyNumberFormat="1" applyFont="1" applyFill="1" applyBorder="1" applyAlignment="1">
      <alignment horizontal="center" vertical="center" wrapText="1"/>
    </xf>
    <xf numFmtId="164" fontId="7" fillId="2" borderId="21" xfId="0" applyNumberFormat="1" applyFont="1" applyFill="1" applyBorder="1" applyAlignment="1">
      <alignment horizontal="center" vertical="center" wrapText="1"/>
    </xf>
    <xf numFmtId="164" fontId="0" fillId="0" borderId="0" xfId="1" applyNumberFormat="1" applyFont="1" applyFill="1" applyBorder="1"/>
    <xf numFmtId="0" fontId="10" fillId="0" borderId="22" xfId="6" applyFont="1" applyBorder="1" applyAlignment="1">
      <alignment horizontal="center" vertical="center" wrapText="1"/>
    </xf>
    <xf numFmtId="0" fontId="10" fillId="0" borderId="23" xfId="6" applyFont="1" applyBorder="1" applyAlignment="1">
      <alignment horizontal="center" vertical="center" wrapText="1"/>
    </xf>
    <xf numFmtId="0" fontId="10" fillId="0" borderId="24" xfId="6" applyFont="1" applyBorder="1" applyAlignment="1">
      <alignment horizontal="center" vertical="center" wrapText="1"/>
    </xf>
    <xf numFmtId="0" fontId="10" fillId="0" borderId="0" xfId="6" applyFont="1" applyAlignment="1">
      <alignment horizontal="center" vertical="center" wrapText="1"/>
    </xf>
    <xf numFmtId="165" fontId="10" fillId="0" borderId="0" xfId="1" applyNumberFormat="1" applyFont="1" applyFill="1" applyBorder="1" applyAlignment="1">
      <alignment horizontal="center" vertical="center" wrapText="1"/>
    </xf>
    <xf numFmtId="0" fontId="12" fillId="0" borderId="25" xfId="0" applyFont="1" applyBorder="1" applyAlignment="1">
      <alignment horizontal="left"/>
    </xf>
    <xf numFmtId="164" fontId="12" fillId="0" borderId="25" xfId="1" applyNumberFormat="1" applyFont="1" applyBorder="1" applyAlignment="1">
      <alignment horizontal="left"/>
    </xf>
    <xf numFmtId="164" fontId="12" fillId="0" borderId="0" xfId="1" applyNumberFormat="1" applyFont="1" applyBorder="1" applyAlignment="1">
      <alignment horizontal="left"/>
    </xf>
    <xf numFmtId="164" fontId="12" fillId="0" borderId="26" xfId="6" applyNumberFormat="1" applyFont="1" applyBorder="1"/>
    <xf numFmtId="164" fontId="12" fillId="0" borderId="25" xfId="1" applyNumberFormat="1" applyFont="1" applyBorder="1"/>
    <xf numFmtId="164" fontId="12" fillId="0" borderId="0" xfId="1" applyNumberFormat="1" applyFont="1" applyBorder="1"/>
    <xf numFmtId="164" fontId="12" fillId="0" borderId="26" xfId="1" applyNumberFormat="1" applyFont="1" applyBorder="1"/>
    <xf numFmtId="164" fontId="12" fillId="0" borderId="25" xfId="6" applyNumberFormat="1" applyFont="1" applyBorder="1"/>
    <xf numFmtId="164" fontId="12" fillId="0" borderId="0" xfId="6" applyNumberFormat="1" applyFont="1"/>
    <xf numFmtId="164" fontId="12" fillId="0" borderId="25" xfId="1" applyNumberFormat="1" applyFont="1" applyBorder="1" applyAlignment="1">
      <alignment horizontal="center" vertical="center"/>
    </xf>
    <xf numFmtId="9" fontId="10" fillId="0" borderId="0" xfId="2" applyFont="1" applyBorder="1" applyAlignment="1">
      <alignment horizontal="center" vertical="center"/>
    </xf>
    <xf numFmtId="164" fontId="12" fillId="0" borderId="0" xfId="1" applyNumberFormat="1" applyFont="1" applyBorder="1" applyAlignment="1">
      <alignment horizontal="center" vertical="center"/>
    </xf>
    <xf numFmtId="9" fontId="10" fillId="0" borderId="26" xfId="2" applyFont="1" applyBorder="1" applyAlignment="1">
      <alignment horizontal="center" vertical="center"/>
    </xf>
    <xf numFmtId="165" fontId="12" fillId="0" borderId="0" xfId="6" applyNumberFormat="1" applyFont="1" applyAlignment="1">
      <alignment horizontal="center" vertical="center"/>
    </xf>
    <xf numFmtId="43" fontId="12" fillId="0" borderId="0" xfId="6" applyNumberFormat="1" applyFont="1" applyAlignment="1">
      <alignment horizontal="center" vertical="center"/>
    </xf>
    <xf numFmtId="9" fontId="10" fillId="0" borderId="0" xfId="2" applyFont="1" applyFill="1" applyBorder="1" applyAlignment="1">
      <alignment horizontal="center" vertical="center"/>
    </xf>
    <xf numFmtId="0" fontId="12" fillId="7" borderId="25" xfId="0" applyFont="1" applyFill="1" applyBorder="1" applyAlignment="1">
      <alignment horizontal="left"/>
    </xf>
    <xf numFmtId="164" fontId="12" fillId="7" borderId="25" xfId="1" applyNumberFormat="1" applyFont="1" applyFill="1" applyBorder="1" applyAlignment="1">
      <alignment horizontal="left"/>
    </xf>
    <xf numFmtId="164" fontId="12" fillId="7" borderId="0" xfId="1" applyNumberFormat="1" applyFont="1" applyFill="1" applyBorder="1" applyAlignment="1">
      <alignment horizontal="left"/>
    </xf>
    <xf numFmtId="164" fontId="12" fillId="7" borderId="26" xfId="6" applyNumberFormat="1" applyFont="1" applyFill="1" applyBorder="1"/>
    <xf numFmtId="164" fontId="12" fillId="7" borderId="25" xfId="1" applyNumberFormat="1" applyFont="1" applyFill="1" applyBorder="1"/>
    <xf numFmtId="164" fontId="12" fillId="7" borderId="0" xfId="1" applyNumberFormat="1" applyFont="1" applyFill="1" applyBorder="1"/>
    <xf numFmtId="164" fontId="12" fillId="7" borderId="26" xfId="1" applyNumberFormat="1" applyFont="1" applyFill="1" applyBorder="1"/>
    <xf numFmtId="0" fontId="15" fillId="0" borderId="25" xfId="0" applyFont="1" applyBorder="1" applyAlignment="1">
      <alignment horizontal="left"/>
    </xf>
    <xf numFmtId="0" fontId="0" fillId="7" borderId="0" xfId="0" applyFill="1"/>
    <xf numFmtId="0" fontId="15" fillId="7" borderId="25" xfId="0" applyFont="1" applyFill="1" applyBorder="1" applyAlignment="1">
      <alignment horizontal="left"/>
    </xf>
    <xf numFmtId="0" fontId="7" fillId="2" borderId="27" xfId="0" applyFont="1" applyFill="1" applyBorder="1" applyAlignment="1">
      <alignment horizontal="left"/>
    </xf>
    <xf numFmtId="164" fontId="10" fillId="8" borderId="25" xfId="1" applyNumberFormat="1" applyFont="1" applyFill="1" applyBorder="1" applyAlignment="1">
      <alignment horizontal="left"/>
    </xf>
    <xf numFmtId="164" fontId="10" fillId="8" borderId="0" xfId="1" applyNumberFormat="1" applyFont="1" applyFill="1" applyBorder="1" applyAlignment="1">
      <alignment horizontal="left"/>
    </xf>
    <xf numFmtId="164" fontId="10" fillId="8" borderId="26" xfId="6" applyNumberFormat="1" applyFont="1" applyFill="1" applyBorder="1"/>
    <xf numFmtId="164" fontId="10" fillId="8" borderId="25" xfId="1" applyNumberFormat="1" applyFont="1" applyFill="1" applyBorder="1"/>
    <xf numFmtId="164" fontId="10" fillId="8" borderId="0" xfId="1" applyNumberFormat="1" applyFont="1" applyFill="1" applyBorder="1"/>
    <xf numFmtId="164" fontId="10" fillId="8" borderId="26" xfId="1" applyNumberFormat="1" applyFont="1" applyFill="1" applyBorder="1"/>
    <xf numFmtId="164" fontId="10" fillId="8" borderId="25" xfId="6" applyNumberFormat="1" applyFont="1" applyFill="1" applyBorder="1"/>
    <xf numFmtId="164" fontId="10" fillId="8" borderId="0" xfId="6" applyNumberFormat="1" applyFont="1" applyFill="1"/>
    <xf numFmtId="164" fontId="12" fillId="0" borderId="12" xfId="1" applyNumberFormat="1" applyFont="1" applyBorder="1" applyAlignment="1">
      <alignment horizontal="center" vertical="center"/>
    </xf>
    <xf numFmtId="9" fontId="10" fillId="0" borderId="13" xfId="2" applyFont="1" applyBorder="1" applyAlignment="1">
      <alignment horizontal="center" vertical="center"/>
    </xf>
    <xf numFmtId="164" fontId="12" fillId="0" borderId="13" xfId="1" applyNumberFormat="1" applyFont="1" applyBorder="1" applyAlignment="1">
      <alignment horizontal="center" vertical="center"/>
    </xf>
    <xf numFmtId="9" fontId="10" fillId="0" borderId="14" xfId="2" applyFont="1" applyBorder="1" applyAlignment="1">
      <alignment horizontal="center" vertical="center"/>
    </xf>
    <xf numFmtId="165" fontId="0" fillId="0" borderId="0" xfId="1" applyNumberFormat="1" applyFont="1" applyFill="1" applyBorder="1"/>
    <xf numFmtId="43" fontId="0" fillId="0" borderId="0" xfId="0" applyNumberFormat="1"/>
    <xf numFmtId="0" fontId="12" fillId="0" borderId="0" xfId="6" applyFont="1" applyAlignment="1"/>
    <xf numFmtId="0" fontId="20" fillId="0" borderId="0" xfId="7" applyFont="1"/>
    <xf numFmtId="164" fontId="20" fillId="0" borderId="0" xfId="4" applyNumberFormat="1" applyFont="1"/>
    <xf numFmtId="0" fontId="20" fillId="0" borderId="17" xfId="7" applyFont="1" applyBorder="1" applyAlignment="1">
      <alignment horizontal="center"/>
    </xf>
    <xf numFmtId="0" fontId="20" fillId="0" borderId="18" xfId="7" applyFont="1" applyBorder="1" applyAlignment="1">
      <alignment horizontal="center"/>
    </xf>
    <xf numFmtId="0" fontId="20" fillId="0" borderId="25" xfId="7" applyFont="1" applyBorder="1"/>
    <xf numFmtId="0" fontId="20" fillId="0" borderId="0" xfId="7" applyFont="1" applyAlignment="1">
      <alignment horizontal="center" wrapText="1"/>
    </xf>
    <xf numFmtId="43" fontId="20" fillId="0" borderId="0" xfId="4" applyFont="1" applyBorder="1" applyAlignment="1">
      <alignment horizontal="center" wrapText="1"/>
    </xf>
    <xf numFmtId="0" fontId="20" fillId="0" borderId="0" xfId="7" applyFont="1" applyAlignment="1">
      <alignment horizontal="center"/>
    </xf>
    <xf numFmtId="0" fontId="20" fillId="0" borderId="26" xfId="7" applyFont="1" applyBorder="1"/>
    <xf numFmtId="0" fontId="21" fillId="0" borderId="25" xfId="8" applyFont="1" applyBorder="1"/>
    <xf numFmtId="0" fontId="21" fillId="0" borderId="0" xfId="8" applyFont="1"/>
    <xf numFmtId="164" fontId="21" fillId="0" borderId="0" xfId="4" applyNumberFormat="1" applyFont="1" applyFill="1" applyBorder="1"/>
    <xf numFmtId="43" fontId="21" fillId="0" borderId="0" xfId="4" applyFont="1" applyFill="1" applyBorder="1"/>
    <xf numFmtId="43" fontId="20" fillId="0" borderId="0" xfId="7" applyNumberFormat="1" applyFont="1"/>
    <xf numFmtId="164" fontId="20" fillId="0" borderId="0" xfId="7" applyNumberFormat="1" applyFont="1"/>
    <xf numFmtId="164" fontId="20" fillId="0" borderId="0" xfId="4" applyNumberFormat="1" applyFont="1" applyBorder="1"/>
    <xf numFmtId="0" fontId="20" fillId="0" borderId="12" xfId="7" applyFont="1" applyBorder="1"/>
    <xf numFmtId="0" fontId="20" fillId="0" borderId="13" xfId="7" applyFont="1" applyBorder="1"/>
    <xf numFmtId="164" fontId="20" fillId="0" borderId="13" xfId="4" applyNumberFormat="1" applyFont="1" applyBorder="1"/>
    <xf numFmtId="0" fontId="20" fillId="0" borderId="14" xfId="7" applyFont="1" applyBorder="1"/>
    <xf numFmtId="164" fontId="23" fillId="9" borderId="31" xfId="9" applyNumberFormat="1" applyFont="1" applyFill="1" applyBorder="1" applyAlignment="1">
      <alignment horizontal="center"/>
    </xf>
    <xf numFmtId="164" fontId="23" fillId="9" borderId="31" xfId="9" applyNumberFormat="1" applyFont="1" applyFill="1" applyBorder="1" applyAlignment="1">
      <alignment horizontal="center" wrapText="1"/>
    </xf>
    <xf numFmtId="164" fontId="23" fillId="9" borderId="32" xfId="9" applyNumberFormat="1" applyFont="1" applyFill="1" applyBorder="1" applyAlignment="1">
      <alignment horizontal="center" wrapText="1"/>
    </xf>
    <xf numFmtId="164" fontId="23" fillId="9" borderId="33" xfId="9" applyNumberFormat="1" applyFont="1" applyFill="1" applyBorder="1" applyAlignment="1">
      <alignment horizontal="center"/>
    </xf>
    <xf numFmtId="164" fontId="23" fillId="9" borderId="34" xfId="9" applyNumberFormat="1" applyFont="1" applyFill="1" applyBorder="1" applyAlignment="1">
      <alignment horizontal="center" wrapText="1"/>
    </xf>
    <xf numFmtId="0" fontId="20" fillId="0" borderId="25" xfId="10" applyFont="1" applyBorder="1"/>
    <xf numFmtId="168" fontId="20" fillId="0" borderId="0" xfId="7" applyNumberFormat="1" applyFont="1"/>
    <xf numFmtId="168" fontId="21" fillId="0" borderId="0" xfId="10" applyNumberFormat="1" applyFont="1"/>
    <xf numFmtId="164" fontId="21" fillId="0" borderId="0" xfId="8" applyNumberFormat="1" applyFont="1"/>
    <xf numFmtId="9" fontId="21" fillId="0" borderId="25" xfId="11" applyFont="1" applyFill="1" applyBorder="1"/>
    <xf numFmtId="9" fontId="21" fillId="0" borderId="0" xfId="11" applyFont="1" applyFill="1" applyBorder="1"/>
    <xf numFmtId="9" fontId="21" fillId="0" borderId="26" xfId="11" applyFont="1" applyFill="1" applyBorder="1"/>
    <xf numFmtId="0" fontId="21" fillId="0" borderId="0" xfId="10" applyFont="1"/>
    <xf numFmtId="164" fontId="23" fillId="9" borderId="12" xfId="9" applyNumberFormat="1" applyFont="1" applyFill="1" applyBorder="1"/>
    <xf numFmtId="164" fontId="23" fillId="9" borderId="13" xfId="4" applyNumberFormat="1" applyFont="1" applyFill="1" applyBorder="1"/>
    <xf numFmtId="9" fontId="23" fillId="9" borderId="13" xfId="11" applyFont="1" applyFill="1" applyBorder="1"/>
    <xf numFmtId="0" fontId="20" fillId="0" borderId="0" xfId="10" applyFont="1"/>
    <xf numFmtId="0" fontId="20" fillId="0" borderId="0" xfId="7" applyFont="1" applyAlignment="1">
      <alignment wrapText="1"/>
    </xf>
    <xf numFmtId="43" fontId="20" fillId="0" borderId="0" xfId="4" applyFont="1" applyBorder="1" applyAlignment="1">
      <alignment wrapText="1"/>
    </xf>
    <xf numFmtId="9" fontId="23" fillId="9" borderId="12" xfId="11" applyFont="1" applyFill="1" applyBorder="1"/>
    <xf numFmtId="9" fontId="23" fillId="9" borderId="14" xfId="11" applyFont="1" applyFill="1" applyBorder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164" fontId="3" fillId="0" borderId="2" xfId="1" applyNumberFormat="1" applyFont="1" applyBorder="1" applyAlignment="1">
      <alignment horizontal="center"/>
    </xf>
    <xf numFmtId="164" fontId="3" fillId="0" borderId="3" xfId="1" applyNumberFormat="1" applyFont="1" applyBorder="1" applyAlignment="1">
      <alignment horizontal="center"/>
    </xf>
    <xf numFmtId="164" fontId="3" fillId="0" borderId="4" xfId="1" applyNumberFormat="1" applyFont="1" applyBorder="1" applyAlignment="1">
      <alignment horizontal="center"/>
    </xf>
    <xf numFmtId="164" fontId="3" fillId="0" borderId="5" xfId="1" applyNumberFormat="1" applyFont="1" applyBorder="1" applyAlignment="1">
      <alignment horizontal="center"/>
    </xf>
    <xf numFmtId="164" fontId="3" fillId="0" borderId="6" xfId="1" applyNumberFormat="1" applyFont="1" applyBorder="1" applyAlignment="1">
      <alignment horizontal="center"/>
    </xf>
    <xf numFmtId="43" fontId="6" fillId="0" borderId="7" xfId="4" applyFont="1" applyBorder="1" applyAlignment="1">
      <alignment horizontal="center" vertical="center"/>
    </xf>
    <xf numFmtId="43" fontId="6" fillId="0" borderId="2" xfId="4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 wrapText="1"/>
    </xf>
    <xf numFmtId="0" fontId="6" fillId="0" borderId="5" xfId="3" applyFont="1" applyBorder="1" applyAlignment="1">
      <alignment horizontal="center" vertical="center" wrapText="1"/>
    </xf>
    <xf numFmtId="0" fontId="6" fillId="0" borderId="6" xfId="3" applyFont="1" applyBorder="1" applyAlignment="1">
      <alignment horizontal="center" vertical="center" wrapText="1"/>
    </xf>
    <xf numFmtId="164" fontId="7" fillId="2" borderId="9" xfId="0" applyNumberFormat="1" applyFont="1" applyFill="1" applyBorder="1" applyAlignment="1">
      <alignment horizontal="center" vertical="center" wrapText="1"/>
    </xf>
    <xf numFmtId="164" fontId="7" fillId="2" borderId="10" xfId="0" applyNumberFormat="1" applyFont="1" applyFill="1" applyBorder="1" applyAlignment="1">
      <alignment horizontal="center" vertical="center" wrapText="1"/>
    </xf>
    <xf numFmtId="164" fontId="7" fillId="2" borderId="11" xfId="0" applyNumberFormat="1" applyFont="1" applyFill="1" applyBorder="1" applyAlignment="1">
      <alignment horizontal="center" vertical="center" wrapText="1"/>
    </xf>
    <xf numFmtId="0" fontId="10" fillId="6" borderId="9" xfId="6" applyFont="1" applyFill="1" applyBorder="1" applyAlignment="1">
      <alignment horizontal="center" vertical="center" wrapText="1"/>
    </xf>
    <xf numFmtId="0" fontId="10" fillId="6" borderId="10" xfId="6" applyFont="1" applyFill="1" applyBorder="1" applyAlignment="1">
      <alignment horizontal="center" vertical="center" wrapText="1"/>
    </xf>
    <xf numFmtId="0" fontId="10" fillId="6" borderId="11" xfId="6" applyFont="1" applyFill="1" applyBorder="1" applyAlignment="1">
      <alignment horizontal="center" vertical="center" wrapText="1"/>
    </xf>
    <xf numFmtId="0" fontId="18" fillId="0" borderId="16" xfId="3" applyFont="1" applyBorder="1" applyAlignment="1">
      <alignment horizontal="center" vertical="center" wrapText="1"/>
    </xf>
    <xf numFmtId="0" fontId="18" fillId="0" borderId="17" xfId="3" applyFont="1" applyBorder="1" applyAlignment="1">
      <alignment horizontal="center" vertical="center" wrapText="1"/>
    </xf>
    <xf numFmtId="0" fontId="18" fillId="0" borderId="18" xfId="3" applyFont="1" applyBorder="1" applyAlignment="1">
      <alignment horizontal="center" vertical="center" wrapText="1"/>
    </xf>
    <xf numFmtId="0" fontId="20" fillId="0" borderId="28" xfId="7" applyFont="1" applyBorder="1" applyAlignment="1">
      <alignment horizontal="center"/>
    </xf>
    <xf numFmtId="0" fontId="20" fillId="0" borderId="29" xfId="7" applyFont="1" applyBorder="1" applyAlignment="1">
      <alignment horizontal="center"/>
    </xf>
    <xf numFmtId="0" fontId="20" fillId="0" borderId="30" xfId="7" applyFont="1" applyBorder="1" applyAlignment="1">
      <alignment horizontal="center"/>
    </xf>
    <xf numFmtId="0" fontId="20" fillId="0" borderId="13" xfId="7" applyFont="1" applyBorder="1" applyAlignment="1">
      <alignment horizontal="center"/>
    </xf>
    <xf numFmtId="164" fontId="23" fillId="9" borderId="17" xfId="9" applyNumberFormat="1" applyFont="1" applyFill="1" applyBorder="1" applyAlignment="1">
      <alignment horizontal="center" wrapText="1"/>
    </xf>
    <xf numFmtId="164" fontId="23" fillId="9" borderId="0" xfId="9" applyNumberFormat="1" applyFont="1" applyFill="1" applyBorder="1" applyAlignment="1">
      <alignment horizontal="center" wrapText="1"/>
    </xf>
    <xf numFmtId="0" fontId="20" fillId="0" borderId="9" xfId="7" applyFont="1" applyBorder="1" applyAlignment="1">
      <alignment horizontal="center"/>
    </xf>
    <xf numFmtId="0" fontId="20" fillId="0" borderId="10" xfId="7" applyFont="1" applyBorder="1" applyAlignment="1">
      <alignment horizontal="center"/>
    </xf>
    <xf numFmtId="0" fontId="20" fillId="0" borderId="11" xfId="7" applyFont="1" applyBorder="1" applyAlignment="1">
      <alignment horizontal="center"/>
    </xf>
    <xf numFmtId="0" fontId="22" fillId="0" borderId="9" xfId="7" applyFont="1" applyBorder="1" applyAlignment="1">
      <alignment horizontal="center"/>
    </xf>
    <xf numFmtId="0" fontId="22" fillId="0" borderId="10" xfId="7" applyFont="1" applyBorder="1" applyAlignment="1">
      <alignment horizontal="center"/>
    </xf>
    <xf numFmtId="0" fontId="22" fillId="0" borderId="11" xfId="7" applyFont="1" applyBorder="1" applyAlignment="1">
      <alignment horizontal="center"/>
    </xf>
    <xf numFmtId="0" fontId="22" fillId="0" borderId="0" xfId="7" applyFont="1"/>
    <xf numFmtId="0" fontId="22" fillId="0" borderId="16" xfId="7" applyFont="1" applyBorder="1" applyAlignment="1">
      <alignment horizontal="center"/>
    </xf>
    <xf numFmtId="0" fontId="22" fillId="0" borderId="17" xfId="7" applyFont="1" applyBorder="1" applyAlignment="1">
      <alignment horizontal="center"/>
    </xf>
    <xf numFmtId="0" fontId="22" fillId="0" borderId="18" xfId="7" applyFont="1" applyBorder="1" applyAlignment="1">
      <alignment horizontal="center"/>
    </xf>
    <xf numFmtId="0" fontId="0" fillId="0" borderId="0" xfId="0"/>
    <xf numFmtId="164" fontId="0" fillId="0" borderId="0" xfId="1" applyNumberFormat="1" applyFont="1"/>
    <xf numFmtId="164" fontId="0" fillId="0" borderId="0" xfId="1" applyNumberFormat="1" applyFont="1" applyAlignment="1">
      <alignment wrapText="1"/>
    </xf>
    <xf numFmtId="164" fontId="0" fillId="7" borderId="0" xfId="1" applyNumberFormat="1" applyFont="1" applyFill="1"/>
  </cellXfs>
  <cellStyles count="12">
    <cellStyle name="Millares" xfId="1" builtinId="3"/>
    <cellStyle name="Millares 2 2" xfId="4" xr:uid="{1319D4B8-C259-4C71-AF52-E9C9AE4CE99D}"/>
    <cellStyle name="Millares 2 2 2" xfId="5" xr:uid="{C7E08AED-85D3-4FDD-A92A-FB24107296A1}"/>
    <cellStyle name="Millares 2 3" xfId="9" xr:uid="{D0D88023-12AF-410F-811F-B974ADA6B398}"/>
    <cellStyle name="Normal" xfId="0" builtinId="0"/>
    <cellStyle name="Normal 2" xfId="6" xr:uid="{84A868BB-1521-424E-A0E9-F6A21813F693}"/>
    <cellStyle name="Normal 2 2" xfId="3" xr:uid="{33A272CE-E25C-4E68-9CA8-E1466F0BE03E}"/>
    <cellStyle name="Normal 3" xfId="7" xr:uid="{76ADB8B5-A28E-40C0-9D85-AFDF11BD77EF}"/>
    <cellStyle name="Normal 3 2" xfId="10" xr:uid="{FD0B7DD3-B1C2-4455-812A-671B87E2526D}"/>
    <cellStyle name="Normal 8" xfId="8" xr:uid="{FD3AFF5F-4A16-4D1C-B9B9-26D0514049EE}"/>
    <cellStyle name="Porcentaje" xfId="2" builtinId="5"/>
    <cellStyle name="Porcentaje 2" xfId="11" xr:uid="{75C24EE3-E258-4B50-9042-B1FFC33262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654050</xdr:colOff>
      <xdr:row>0</xdr:row>
      <xdr:rowOff>2540</xdr:rowOff>
    </xdr:from>
    <xdr:to>
      <xdr:col>10</xdr:col>
      <xdr:colOff>191728</xdr:colOff>
      <xdr:row>18</xdr:row>
      <xdr:rowOff>28090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FDBEDDE-06B9-446C-81ED-62D5B2A509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4050" y="2540"/>
          <a:ext cx="7157678" cy="33402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extilvalle-my.sharepoint.com/Unidad%20USB/HECTOR%202018/DISCO%20C/Proyecto%202017/Proyecto%202018/Flujo%20de%20Caja%202018/Flujo%20de%20Caja%20(Consolidado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duardo%20Gonzales/Desktop/Documents/A%20ARCHIVOS%20EGC/AGRILOR/1%20EEFF/2025/06%20MES%20DE%20JUN%202025/7%20Impacto%20variac%20de%20Gatos%20y%20Rendiemiento%20x%20HA%20Consolid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duardo%20Gonzales/Desktop/Documents/A%20ARCHIVOS%20EGC/AGRILOR/1%20EEFF/2025/06%20MES%20DE%20JUN%202025/7.1%20Resumen%20Gasto%20x%20OP%20Jun%2025%20V2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duardo%20Gonzales/Desktop/Documents/A%20ARCHIVOS%20EGC/AGRILOR/1%20EEFF/2025/06%20MES%20DE%20JUN%202025/1%20EEFF%20DOL%20JUN%2025%20-%20AGRILOR%20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e"/>
      <sheetName val="Feb"/>
      <sheetName val="Mar"/>
      <sheetName val="Abr"/>
      <sheetName val="May"/>
      <sheetName val="Jun"/>
      <sheetName val="Jul"/>
      <sheetName val="Ago"/>
      <sheetName val="Sep"/>
      <sheetName val="Oct"/>
      <sheetName val="Nov"/>
      <sheetName val="Dic"/>
      <sheetName val="RESUMEN ANUAL"/>
      <sheetName val="Parametros"/>
      <sheetName val="BD"/>
      <sheetName val="Analisis"/>
      <sheetName val="calcul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">
          <cell r="B3" t="str">
            <v>C.A.</v>
          </cell>
          <cell r="E3">
            <v>101</v>
          </cell>
        </row>
        <row r="4">
          <cell r="B4" t="str">
            <v>C.R.</v>
          </cell>
          <cell r="E4">
            <v>102</v>
          </cell>
        </row>
        <row r="5">
          <cell r="B5" t="str">
            <v>U.V.</v>
          </cell>
          <cell r="E5">
            <v>103</v>
          </cell>
        </row>
        <row r="6">
          <cell r="B6" t="str">
            <v>I.F.</v>
          </cell>
          <cell r="E6">
            <v>104</v>
          </cell>
        </row>
        <row r="7">
          <cell r="B7" t="str">
            <v>I.T.</v>
          </cell>
          <cell r="E7">
            <v>105</v>
          </cell>
        </row>
        <row r="8">
          <cell r="E8">
            <v>106</v>
          </cell>
        </row>
        <row r="9">
          <cell r="E9">
            <v>107</v>
          </cell>
        </row>
        <row r="10">
          <cell r="E10">
            <v>108</v>
          </cell>
        </row>
        <row r="11">
          <cell r="E11">
            <v>109</v>
          </cell>
        </row>
        <row r="12">
          <cell r="E12">
            <v>110</v>
          </cell>
        </row>
        <row r="13">
          <cell r="E13">
            <v>111</v>
          </cell>
        </row>
        <row r="14">
          <cell r="E14">
            <v>112</v>
          </cell>
        </row>
        <row r="15">
          <cell r="E15">
            <v>113</v>
          </cell>
        </row>
        <row r="16">
          <cell r="E16">
            <v>114</v>
          </cell>
        </row>
        <row r="17">
          <cell r="E17">
            <v>115</v>
          </cell>
        </row>
        <row r="18">
          <cell r="E18">
            <v>116</v>
          </cell>
        </row>
        <row r="19">
          <cell r="E19">
            <v>117</v>
          </cell>
        </row>
        <row r="20">
          <cell r="E20">
            <v>118</v>
          </cell>
        </row>
        <row r="21">
          <cell r="E21">
            <v>119</v>
          </cell>
        </row>
        <row r="22">
          <cell r="E22">
            <v>121</v>
          </cell>
        </row>
      </sheetData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rinter"/>
      <sheetName val="ADM"/>
      <sheetName val="1ExplicaCostoRendCampaña"/>
      <sheetName val="Presupuestos Costo 481 HAS"/>
      <sheetName val="GastoRendPack"/>
      <sheetName val="GASTO X OP"/>
      <sheetName val="Costo x Op"/>
    </sheetNames>
    <sheetDataSet>
      <sheetData sheetId="0"/>
      <sheetData sheetId="1"/>
      <sheetData sheetId="2"/>
      <sheetData sheetId="3"/>
      <sheetData sheetId="4">
        <row r="6">
          <cell r="D6">
            <v>31.15</v>
          </cell>
          <cell r="J6">
            <v>26.81</v>
          </cell>
          <cell r="M6">
            <v>26.58</v>
          </cell>
          <cell r="P6">
            <v>18.73</v>
          </cell>
          <cell r="S6">
            <v>36.43</v>
          </cell>
          <cell r="V6">
            <v>25.7</v>
          </cell>
          <cell r="Y6">
            <v>16.89</v>
          </cell>
          <cell r="BF6">
            <v>14.99</v>
          </cell>
          <cell r="BI6">
            <v>37.590000000000003</v>
          </cell>
        </row>
        <row r="7">
          <cell r="D7">
            <v>1869000</v>
          </cell>
          <cell r="G7">
            <v>2255400</v>
          </cell>
          <cell r="J7">
            <v>1608600</v>
          </cell>
          <cell r="M7">
            <v>1594800</v>
          </cell>
          <cell r="P7">
            <v>1123800</v>
          </cell>
          <cell r="S7">
            <v>2185800</v>
          </cell>
          <cell r="V7">
            <v>1542000</v>
          </cell>
          <cell r="Y7">
            <v>1013400</v>
          </cell>
          <cell r="BF7">
            <v>974350</v>
          </cell>
          <cell r="BI7">
            <v>2443350</v>
          </cell>
          <cell r="BL7">
            <v>1742650</v>
          </cell>
          <cell r="BO7">
            <v>1727700</v>
          </cell>
          <cell r="BR7">
            <v>1217450</v>
          </cell>
          <cell r="BU7">
            <v>2367950</v>
          </cell>
          <cell r="BX7">
            <v>1670500</v>
          </cell>
          <cell r="CA7">
            <v>1513850</v>
          </cell>
        </row>
        <row r="8">
          <cell r="D8">
            <v>439952.94517450145</v>
          </cell>
          <cell r="G8">
            <v>530909.50912069064</v>
          </cell>
          <cell r="J8">
            <v>378656.13034120016</v>
          </cell>
          <cell r="M8">
            <v>375407.68162883626</v>
          </cell>
          <cell r="P8">
            <v>264536.71470685111</v>
          </cell>
          <cell r="BI8">
            <v>530921.16</v>
          </cell>
          <cell r="BL8">
            <v>378664.44</v>
          </cell>
          <cell r="BO8">
            <v>375415.92</v>
          </cell>
          <cell r="BR8">
            <v>264542.52</v>
          </cell>
          <cell r="BU8">
            <v>514537.32</v>
          </cell>
          <cell r="BX8">
            <v>362986.8</v>
          </cell>
          <cell r="CA8">
            <v>328947.95999999996</v>
          </cell>
        </row>
      </sheetData>
      <sheetData sheetId="5">
        <row r="54">
          <cell r="AB54">
            <v>729082.46</v>
          </cell>
        </row>
        <row r="55">
          <cell r="AB55">
            <v>750329.92</v>
          </cell>
        </row>
        <row r="56">
          <cell r="AB56">
            <v>431256.92</v>
          </cell>
        </row>
        <row r="57">
          <cell r="AB57">
            <v>437843.97</v>
          </cell>
        </row>
        <row r="58">
          <cell r="AB58">
            <v>306368.02</v>
          </cell>
        </row>
        <row r="59">
          <cell r="AB59">
            <v>601354.23999999999</v>
          </cell>
        </row>
        <row r="60">
          <cell r="AB60">
            <v>457169.87</v>
          </cell>
        </row>
        <row r="61">
          <cell r="AB61">
            <v>290592.78000000003</v>
          </cell>
        </row>
        <row r="62">
          <cell r="AB62">
            <v>220839.35</v>
          </cell>
        </row>
        <row r="63">
          <cell r="AB63">
            <v>689303.64</v>
          </cell>
        </row>
        <row r="64">
          <cell r="AB64">
            <v>480851.04</v>
          </cell>
        </row>
        <row r="65">
          <cell r="AB65">
            <v>479619.66</v>
          </cell>
        </row>
        <row r="66">
          <cell r="AB66">
            <v>167328.04999999999</v>
          </cell>
        </row>
        <row r="67">
          <cell r="AB67">
            <v>614287.38</v>
          </cell>
        </row>
        <row r="68">
          <cell r="AB68">
            <v>320623.53999999998</v>
          </cell>
        </row>
        <row r="69">
          <cell r="AB69">
            <v>281489.71999999997</v>
          </cell>
        </row>
        <row r="122">
          <cell r="AB122">
            <v>306181.69</v>
          </cell>
        </row>
      </sheetData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7 Explica Costo Nov"/>
      <sheetName val="7 Explica Costo DIC"/>
      <sheetName val="RESUMEN (2)"/>
      <sheetName val="RESUMEN"/>
      <sheetName val="Costo 481 HAS"/>
      <sheetName val="OP JUNIO CAM 24"/>
      <sheetName val="CAMP JUL 24 - JUN 25final"/>
      <sheetName val="CAMP JUL 24 - JUN 25"/>
      <sheetName val="OP JUNIO CAM 25"/>
      <sheetName val="CAMP 2025"/>
      <sheetName val="REPORTE "/>
      <sheetName val="OK DIC"/>
    </sheetNames>
    <sheetDataSet>
      <sheetData sheetId="0"/>
      <sheetData sheetId="1"/>
      <sheetData sheetId="2"/>
      <sheetData sheetId="3"/>
      <sheetData sheetId="4"/>
      <sheetData sheetId="5"/>
      <sheetData sheetId="6">
        <row r="69">
          <cell r="BN69">
            <v>7595610.3699999992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AnexodeBalan (2)"/>
      <sheetName val="7ResumenVtas  (2)"/>
      <sheetName val="Indice"/>
      <sheetName val="6 DetalleVtasAgo"/>
      <sheetName val="BDC SOL"/>
      <sheetName val="BDC DOL"/>
      <sheetName val="1 BALANC"/>
      <sheetName val="2 RESUL"/>
      <sheetName val="3 ANEXODBALANC"/>
      <sheetName val="4 ANEXO RESUL"/>
      <sheetName val=" 5 GTOS DE PROD"/>
      <sheetName val="20 GASTO X OP"/>
      <sheetName val="6 DetalleVtaDic"/>
      <sheetName val="7Resumenvtas"/>
      <sheetName val="8 CLIENTES"/>
      <sheetName val="9 CTAS X COB PERSONAL"/>
      <sheetName val="10 OTRAS CTAS X COB"/>
      <sheetName val="11GTOS PAGADOS X ANTIC "/>
      <sheetName val="12 IMP X RECUP"/>
      <sheetName val="13 PROVEEDORES"/>
      <sheetName val="13.1ProvRelacionadas"/>
      <sheetName val="14 PREST BANC"/>
      <sheetName val="15OTRAS CTAS X PAGAR"/>
      <sheetName val="16 CTAS X COB ACC"/>
      <sheetName val="17 REM X PAGAR"/>
      <sheetName val="18 TRIB X PAGAR"/>
      <sheetName val="19 ANTIC A PROV"/>
      <sheetName val="21 RESUM X OP"/>
      <sheetName val="22 ACT FIJOS"/>
      <sheetName val="9Cta.xcobrarPersonal "/>
      <sheetName val="14Prest.bancar"/>
      <sheetName val="16Ctasxpagaccion "/>
      <sheetName val="anexo remuenraciones"/>
      <sheetName val="Hoja2"/>
      <sheetName val="22ActivosFijos"/>
    </sheetNames>
    <sheetDataSet>
      <sheetData sheetId="0" refreshError="1"/>
      <sheetData sheetId="1" refreshError="1"/>
      <sheetData sheetId="2" refreshError="1"/>
      <sheetData sheetId="3" refreshError="1"/>
      <sheetData sheetId="4">
        <row r="57">
          <cell r="G57">
            <v>11449773.800000001</v>
          </cell>
        </row>
        <row r="58">
          <cell r="G58">
            <v>5060375.07</v>
          </cell>
        </row>
        <row r="59">
          <cell r="G59">
            <v>811399.57</v>
          </cell>
        </row>
        <row r="60">
          <cell r="G60">
            <v>1179192.82</v>
          </cell>
        </row>
        <row r="61">
          <cell r="G61">
            <v>1235470.67</v>
          </cell>
        </row>
      </sheetData>
      <sheetData sheetId="5" refreshError="1"/>
      <sheetData sheetId="6" refreshError="1"/>
      <sheetData sheetId="7" refreshError="1"/>
      <sheetData sheetId="8">
        <row r="39">
          <cell r="I39">
            <v>130490.61</v>
          </cell>
        </row>
      </sheetData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7FAA4-3C38-4015-A9C1-52DEA6403D13}">
  <dimension ref="A2:Z52"/>
  <sheetViews>
    <sheetView tabSelected="1" zoomScale="80" zoomScaleNormal="80" workbookViewId="0">
      <selection activeCell="K25" sqref="K25"/>
    </sheetView>
  </sheetViews>
  <sheetFormatPr baseColWidth="10" defaultRowHeight="14.5" x14ac:dyDescent="0.35"/>
  <cols>
    <col min="1" max="1" width="1.81640625" customWidth="1"/>
    <col min="2" max="2" width="10.81640625" customWidth="1"/>
    <col min="3" max="6" width="8.453125" customWidth="1"/>
    <col min="7" max="7" width="1.1796875" customWidth="1"/>
    <col min="8" max="10" width="6.90625" customWidth="1"/>
    <col min="11" max="11" width="1.90625" customWidth="1"/>
    <col min="12" max="12" width="12.36328125" style="1" customWidth="1"/>
    <col min="13" max="13" width="9.1796875" customWidth="1"/>
    <col min="14" max="14" width="10.81640625" style="1" customWidth="1"/>
    <col min="15" max="15" width="7.81640625" customWidth="1"/>
    <col min="16" max="16" width="12.1796875" style="1" customWidth="1"/>
    <col min="17" max="17" width="10.54296875" style="1" bestFit="1" customWidth="1"/>
    <col min="18" max="18" width="8.26953125" style="1" customWidth="1"/>
    <col min="19" max="19" width="7.453125" style="2" customWidth="1"/>
    <col min="20" max="20" width="11.08984375" style="1" customWidth="1"/>
    <col min="21" max="21" width="11.36328125" style="1" customWidth="1"/>
    <col min="22" max="22" width="12.36328125" style="1" customWidth="1"/>
    <col min="23" max="23" width="10.54296875" style="1" bestFit="1" customWidth="1"/>
  </cols>
  <sheetData>
    <row r="2" spans="2:26" x14ac:dyDescent="0.35">
      <c r="B2" s="168" t="s">
        <v>0</v>
      </c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/>
      <c r="U2" s="169"/>
      <c r="V2" s="169"/>
      <c r="W2" s="169"/>
      <c r="X2" s="169"/>
    </row>
    <row r="3" spans="2:26" ht="24" customHeight="1" x14ac:dyDescent="0.35">
      <c r="B3" s="168" t="s">
        <v>1</v>
      </c>
      <c r="C3" s="169"/>
      <c r="D3" s="169"/>
      <c r="E3" s="169"/>
      <c r="F3" s="169"/>
      <c r="G3" s="169"/>
      <c r="H3" s="169"/>
      <c r="I3" s="169"/>
      <c r="J3" s="170"/>
      <c r="K3" s="3"/>
      <c r="L3" s="171" t="s">
        <v>2</v>
      </c>
      <c r="M3" s="172"/>
      <c r="N3" s="173"/>
      <c r="O3" s="168" t="s">
        <v>3</v>
      </c>
      <c r="P3" s="169"/>
      <c r="Q3" s="169"/>
      <c r="R3" s="169"/>
      <c r="S3" s="170"/>
      <c r="T3" s="174" t="s">
        <v>4</v>
      </c>
      <c r="U3" s="175"/>
      <c r="V3" s="175"/>
      <c r="W3" s="175"/>
      <c r="X3" s="176"/>
    </row>
    <row r="4" spans="2:26" ht="15.75" customHeight="1" thickBot="1" x14ac:dyDescent="0.4">
      <c r="G4" s="4"/>
      <c r="L4" s="177" t="s">
        <v>5</v>
      </c>
      <c r="M4" s="178"/>
      <c r="N4" s="178"/>
      <c r="O4" s="177" t="s">
        <v>6</v>
      </c>
      <c r="P4" s="178"/>
      <c r="Q4" s="178"/>
      <c r="R4" s="178"/>
      <c r="S4" s="178"/>
      <c r="T4" s="179" t="s">
        <v>7</v>
      </c>
      <c r="U4" s="180"/>
      <c r="V4" s="180"/>
      <c r="W4" s="180"/>
      <c r="X4" s="181"/>
    </row>
    <row r="5" spans="2:26" ht="37.5" customHeight="1" thickBot="1" x14ac:dyDescent="0.4">
      <c r="B5" s="5" t="s">
        <v>8</v>
      </c>
      <c r="C5" s="6" t="s">
        <v>9</v>
      </c>
      <c r="D5" s="6" t="s">
        <v>10</v>
      </c>
      <c r="E5" s="6" t="s">
        <v>11</v>
      </c>
      <c r="F5" s="6" t="s">
        <v>12</v>
      </c>
      <c r="G5" s="7"/>
      <c r="H5" s="8" t="s">
        <v>13</v>
      </c>
      <c r="I5" s="8" t="s">
        <v>14</v>
      </c>
      <c r="J5" s="8" t="s">
        <v>15</v>
      </c>
      <c r="K5" s="9"/>
      <c r="L5" s="10" t="s">
        <v>16</v>
      </c>
      <c r="M5" s="11" t="s">
        <v>17</v>
      </c>
      <c r="N5" s="12" t="s">
        <v>18</v>
      </c>
      <c r="O5" s="13" t="s">
        <v>19</v>
      </c>
      <c r="P5" s="14" t="s">
        <v>20</v>
      </c>
      <c r="Q5" s="14" t="s">
        <v>21</v>
      </c>
      <c r="R5" s="15" t="s">
        <v>22</v>
      </c>
      <c r="S5" s="16" t="s">
        <v>23</v>
      </c>
      <c r="T5" s="17" t="s">
        <v>24</v>
      </c>
      <c r="U5" s="15" t="s">
        <v>25</v>
      </c>
      <c r="V5" s="15" t="s">
        <v>26</v>
      </c>
      <c r="W5" s="18" t="s">
        <v>27</v>
      </c>
      <c r="X5" s="18" t="s">
        <v>28</v>
      </c>
    </row>
    <row r="6" spans="2:26" x14ac:dyDescent="0.35">
      <c r="B6" s="19" t="s">
        <v>29</v>
      </c>
      <c r="C6" s="20">
        <v>1788121</v>
      </c>
      <c r="D6" s="21">
        <v>653759.35000000021</v>
      </c>
      <c r="E6" s="21">
        <v>729082.48000000033</v>
      </c>
      <c r="F6" s="21">
        <v>-75323.130000000019</v>
      </c>
      <c r="G6" s="7"/>
      <c r="H6" s="22">
        <f t="shared" ref="H6:H22" si="0">+D6/$C6</f>
        <v>0.36561247812648034</v>
      </c>
      <c r="I6" s="22">
        <f t="shared" ref="I6:I22" si="1">+E6/$C6</f>
        <v>0.40773665764229622</v>
      </c>
      <c r="J6" s="22">
        <f t="shared" ref="J6:J22" si="2">+F6/$C6</f>
        <v>-4.2124179515815777E-2</v>
      </c>
      <c r="K6" s="23"/>
      <c r="L6" s="24">
        <v>1788121</v>
      </c>
      <c r="M6" s="25">
        <f t="shared" ref="M6:M23" si="3">N6/L6</f>
        <v>0.40773664645737057</v>
      </c>
      <c r="N6" s="24">
        <f>+'[2]GASTO X OP'!AB54</f>
        <v>729082.46</v>
      </c>
      <c r="O6" s="26">
        <f>+[2]GastoRendPack!D6</f>
        <v>31.15</v>
      </c>
      <c r="P6" s="24">
        <f>+[2]GastoRendPack!D7</f>
        <v>1869000</v>
      </c>
      <c r="Q6" s="24">
        <f>+[2]GastoRendPack!D8</f>
        <v>439952.94517450145</v>
      </c>
      <c r="R6" s="24">
        <f t="shared" ref="R6:R23" si="4">+Q6/O6</f>
        <v>14123.690053756067</v>
      </c>
      <c r="S6" s="25">
        <f t="shared" ref="S6:S22" si="5">+Q6/P6</f>
        <v>0.23539483422926777</v>
      </c>
      <c r="T6" s="24">
        <f t="shared" ref="T6:T22" si="6">+L6-P6</f>
        <v>-80879</v>
      </c>
      <c r="U6" s="24">
        <f t="shared" ref="U6:U22" si="7">+N6-Q6</f>
        <v>289129.51482549851</v>
      </c>
      <c r="V6" s="24">
        <f t="shared" ref="V6:V22" si="8">(P6-L6)*S6</f>
        <v>19038.498797628949</v>
      </c>
      <c r="W6" s="24">
        <f t="shared" ref="W6:W22" si="9">(M6-S6)*L6</f>
        <v>308168.01362312742</v>
      </c>
      <c r="X6" s="27">
        <f>+U6+V6-W6</f>
        <v>0</v>
      </c>
      <c r="Y6" s="28"/>
      <c r="Z6" s="29">
        <f t="shared" ref="Z6:Z23" si="10">+T6/P6</f>
        <v>-4.3273943285179244E-2</v>
      </c>
    </row>
    <row r="7" spans="2:26" x14ac:dyDescent="0.35">
      <c r="B7" s="19" t="s">
        <v>30</v>
      </c>
      <c r="C7" s="20">
        <v>1820916</v>
      </c>
      <c r="D7" s="21">
        <v>637009.08000000019</v>
      </c>
      <c r="E7" s="21">
        <v>750329.91000000038</v>
      </c>
      <c r="F7" s="21">
        <v>-113320.82999999987</v>
      </c>
      <c r="G7" s="7"/>
      <c r="H7" s="22">
        <f t="shared" si="0"/>
        <v>0.34982892126819698</v>
      </c>
      <c r="I7" s="22">
        <f t="shared" si="1"/>
        <v>0.41206179197722487</v>
      </c>
      <c r="J7" s="22">
        <f t="shared" si="2"/>
        <v>-6.2232870709027693E-2</v>
      </c>
      <c r="K7" s="23"/>
      <c r="L7" s="24">
        <v>1820916</v>
      </c>
      <c r="M7" s="25">
        <f t="shared" si="3"/>
        <v>0.41206179746896621</v>
      </c>
      <c r="N7" s="24">
        <f>+'[2]GASTO X OP'!AB55</f>
        <v>750329.92</v>
      </c>
      <c r="O7" s="26">
        <v>37.590000000000003</v>
      </c>
      <c r="P7" s="24">
        <f>+[2]GastoRendPack!G7</f>
        <v>2255400</v>
      </c>
      <c r="Q7" s="24">
        <f>+[2]GastoRendPack!G8</f>
        <v>530909.50912069064</v>
      </c>
      <c r="R7" s="24">
        <f t="shared" si="4"/>
        <v>14123.690053756069</v>
      </c>
      <c r="S7" s="25">
        <f t="shared" si="5"/>
        <v>0.23539483422926782</v>
      </c>
      <c r="T7" s="24">
        <f t="shared" si="6"/>
        <v>-434484</v>
      </c>
      <c r="U7" s="24">
        <f t="shared" si="7"/>
        <v>219420.41087930941</v>
      </c>
      <c r="V7" s="24">
        <f t="shared" si="8"/>
        <v>102275.2891552692</v>
      </c>
      <c r="W7" s="24">
        <f t="shared" si="9"/>
        <v>321695.70003457862</v>
      </c>
      <c r="X7" s="27">
        <f t="shared" ref="X7:X22" si="11">+U7+V7-W7</f>
        <v>0</v>
      </c>
      <c r="Y7" s="28"/>
      <c r="Z7" s="29">
        <f t="shared" si="10"/>
        <v>-0.1926416600159617</v>
      </c>
    </row>
    <row r="8" spans="2:26" x14ac:dyDescent="0.35">
      <c r="B8" s="19" t="s">
        <v>31</v>
      </c>
      <c r="C8" s="20">
        <v>1221003</v>
      </c>
      <c r="D8" s="21">
        <v>438831.22999999992</v>
      </c>
      <c r="E8" s="21">
        <v>431256.92999999988</v>
      </c>
      <c r="F8" s="21">
        <v>7574.3000000000065</v>
      </c>
      <c r="G8" s="7"/>
      <c r="H8" s="22">
        <f t="shared" si="0"/>
        <v>0.35940225372091628</v>
      </c>
      <c r="I8" s="22">
        <f t="shared" si="1"/>
        <v>0.35319891105918649</v>
      </c>
      <c r="J8" s="22">
        <f t="shared" si="2"/>
        <v>6.2033426617297471E-3</v>
      </c>
      <c r="K8" s="23"/>
      <c r="L8" s="24">
        <v>1221003</v>
      </c>
      <c r="M8" s="25">
        <f t="shared" si="3"/>
        <v>0.35319890286919853</v>
      </c>
      <c r="N8" s="24">
        <f>+'[2]GASTO X OP'!AB56</f>
        <v>431256.92</v>
      </c>
      <c r="O8" s="26">
        <f>+[2]GastoRendPack!J6</f>
        <v>26.81</v>
      </c>
      <c r="P8" s="24">
        <f>+[2]GastoRendPack!J7</f>
        <v>1608600</v>
      </c>
      <c r="Q8" s="24">
        <f>+[2]GastoRendPack!J8</f>
        <v>378656.13034120016</v>
      </c>
      <c r="R8" s="24">
        <f t="shared" si="4"/>
        <v>14123.690053756067</v>
      </c>
      <c r="S8" s="25">
        <f t="shared" si="5"/>
        <v>0.2353948342292678</v>
      </c>
      <c r="T8" s="24">
        <f t="shared" si="6"/>
        <v>-387597</v>
      </c>
      <c r="U8" s="24">
        <f t="shared" si="7"/>
        <v>52600.789658799826</v>
      </c>
      <c r="V8" s="24">
        <f t="shared" si="8"/>
        <v>91238.331562761508</v>
      </c>
      <c r="W8" s="24">
        <f t="shared" si="9"/>
        <v>143839.12122156133</v>
      </c>
      <c r="X8" s="27">
        <f t="shared" si="11"/>
        <v>0</v>
      </c>
      <c r="Y8" s="28"/>
      <c r="Z8" s="29">
        <f t="shared" si="10"/>
        <v>-0.24095300261096605</v>
      </c>
    </row>
    <row r="9" spans="2:26" x14ac:dyDescent="0.35">
      <c r="B9" s="19" t="s">
        <v>32</v>
      </c>
      <c r="C9" s="20">
        <v>1055324</v>
      </c>
      <c r="D9" s="21">
        <v>359574.51</v>
      </c>
      <c r="E9" s="21">
        <v>437843.97000000003</v>
      </c>
      <c r="F9" s="21">
        <v>-78269.459999999992</v>
      </c>
      <c r="G9" s="7"/>
      <c r="H9" s="22">
        <f t="shared" si="0"/>
        <v>0.34072427993677773</v>
      </c>
      <c r="I9" s="22">
        <f t="shared" si="1"/>
        <v>0.41489056441434102</v>
      </c>
      <c r="J9" s="30">
        <f t="shared" si="2"/>
        <v>-7.416628447756328E-2</v>
      </c>
      <c r="L9" s="24">
        <v>1028324</v>
      </c>
      <c r="M9" s="25">
        <f t="shared" si="3"/>
        <v>0.4257840622216344</v>
      </c>
      <c r="N9" s="24">
        <f>+'[2]GASTO X OP'!AB57</f>
        <v>437843.97</v>
      </c>
      <c r="O9" s="26">
        <f>+[2]GastoRendPack!M6</f>
        <v>26.58</v>
      </c>
      <c r="P9" s="24">
        <f>+[2]GastoRendPack!M7</f>
        <v>1594800</v>
      </c>
      <c r="Q9" s="24">
        <f>+[2]GastoRendPack!M8</f>
        <v>375407.68162883626</v>
      </c>
      <c r="R9" s="24">
        <f t="shared" si="4"/>
        <v>14123.690053756069</v>
      </c>
      <c r="S9" s="25">
        <f t="shared" si="5"/>
        <v>0.2353948342292678</v>
      </c>
      <c r="T9" s="24">
        <f t="shared" si="6"/>
        <v>-566476</v>
      </c>
      <c r="U9" s="24">
        <f t="shared" si="7"/>
        <v>62436.288371163711</v>
      </c>
      <c r="V9" s="24">
        <f t="shared" si="8"/>
        <v>133345.52411485871</v>
      </c>
      <c r="W9" s="24">
        <f t="shared" si="9"/>
        <v>195781.81248602239</v>
      </c>
      <c r="X9" s="27">
        <f t="shared" si="11"/>
        <v>0</v>
      </c>
      <c r="Y9" s="28"/>
      <c r="Z9" s="29">
        <f t="shared" si="10"/>
        <v>-0.3552019061951342</v>
      </c>
    </row>
    <row r="10" spans="2:26" x14ac:dyDescent="0.35">
      <c r="B10" s="19" t="s">
        <v>33</v>
      </c>
      <c r="C10" s="20">
        <v>852643</v>
      </c>
      <c r="D10" s="21">
        <v>306218.7</v>
      </c>
      <c r="E10" s="21">
        <v>306368.01999999996</v>
      </c>
      <c r="F10" s="21">
        <v>-149.31999999998447</v>
      </c>
      <c r="G10" s="7"/>
      <c r="H10" s="22">
        <f t="shared" si="0"/>
        <v>0.35914057817867501</v>
      </c>
      <c r="I10" s="22">
        <f t="shared" si="1"/>
        <v>0.35931570422791248</v>
      </c>
      <c r="J10" s="30">
        <f t="shared" si="2"/>
        <v>-1.7512604923747041E-4</v>
      </c>
      <c r="L10" s="24">
        <v>852843</v>
      </c>
      <c r="M10" s="25">
        <f t="shared" si="3"/>
        <v>0.35923144119140338</v>
      </c>
      <c r="N10" s="24">
        <f>+'[2]GASTO X OP'!AB58</f>
        <v>306368.02</v>
      </c>
      <c r="O10" s="26">
        <f>+[2]GastoRendPack!P6</f>
        <v>18.73</v>
      </c>
      <c r="P10" s="24">
        <f>+[2]GastoRendPack!P7</f>
        <v>1123800</v>
      </c>
      <c r="Q10" s="24">
        <f>+[2]GastoRendPack!P8</f>
        <v>264536.71470685111</v>
      </c>
      <c r="R10" s="24">
        <f t="shared" si="4"/>
        <v>14123.690053756065</v>
      </c>
      <c r="S10" s="25">
        <f t="shared" si="5"/>
        <v>0.23539483422926777</v>
      </c>
      <c r="T10" s="24">
        <f t="shared" si="6"/>
        <v>-270957</v>
      </c>
      <c r="U10" s="24">
        <f t="shared" si="7"/>
        <v>41831.305293148907</v>
      </c>
      <c r="V10" s="24">
        <f t="shared" si="8"/>
        <v>63781.878098259709</v>
      </c>
      <c r="W10" s="24">
        <f t="shared" si="9"/>
        <v>105613.18339140862</v>
      </c>
      <c r="X10" s="27">
        <f t="shared" si="11"/>
        <v>0</v>
      </c>
      <c r="Y10" s="28"/>
      <c r="Z10" s="29">
        <f t="shared" si="10"/>
        <v>-0.24110784837159638</v>
      </c>
    </row>
    <row r="11" spans="2:26" x14ac:dyDescent="0.35">
      <c r="B11" s="19" t="s">
        <v>34</v>
      </c>
      <c r="C11" s="20">
        <v>2375248</v>
      </c>
      <c r="D11" s="21">
        <v>837417.62000000023</v>
      </c>
      <c r="E11" s="21">
        <v>601354.24000000069</v>
      </c>
      <c r="F11" s="21">
        <v>236063.37999999989</v>
      </c>
      <c r="G11" s="7"/>
      <c r="H11" s="22">
        <f t="shared" si="0"/>
        <v>0.35256007793712496</v>
      </c>
      <c r="I11" s="22">
        <f t="shared" si="1"/>
        <v>0.25317534842677508</v>
      </c>
      <c r="J11" s="30">
        <f t="shared" si="2"/>
        <v>9.9384729510350031E-2</v>
      </c>
      <c r="L11" s="24">
        <v>2348248</v>
      </c>
      <c r="M11" s="25">
        <f t="shared" si="3"/>
        <v>0.25608634181738898</v>
      </c>
      <c r="N11" s="24">
        <f>+'[2]GASTO X OP'!AB59</f>
        <v>601354.23999999999</v>
      </c>
      <c r="O11" s="26">
        <f>+[2]GastoRendPack!S6</f>
        <v>36.43</v>
      </c>
      <c r="P11" s="24">
        <f>+[2]GastoRendPack!S7</f>
        <v>2185800</v>
      </c>
      <c r="Q11" s="24">
        <f>474957.526153846+7594</f>
        <v>482551.526153846</v>
      </c>
      <c r="R11" s="24">
        <f t="shared" si="4"/>
        <v>13245.993031947461</v>
      </c>
      <c r="S11" s="25">
        <f t="shared" si="5"/>
        <v>0.22076655053245769</v>
      </c>
      <c r="T11" s="24">
        <f t="shared" si="6"/>
        <v>162448</v>
      </c>
      <c r="U11" s="24">
        <f t="shared" si="7"/>
        <v>118802.71384615399</v>
      </c>
      <c r="V11" s="24">
        <f t="shared" si="8"/>
        <v>-35863.084600896691</v>
      </c>
      <c r="W11" s="24">
        <f t="shared" si="9"/>
        <v>82939.629245257325</v>
      </c>
      <c r="X11" s="27">
        <f t="shared" si="11"/>
        <v>0</v>
      </c>
      <c r="Y11" s="28"/>
      <c r="Z11" s="29">
        <f t="shared" si="10"/>
        <v>7.4319699881050416E-2</v>
      </c>
    </row>
    <row r="12" spans="2:26" x14ac:dyDescent="0.35">
      <c r="B12" s="19" t="s">
        <v>35</v>
      </c>
      <c r="C12" s="20">
        <v>1889141</v>
      </c>
      <c r="D12" s="21">
        <v>668874.25999999978</v>
      </c>
      <c r="E12" s="21">
        <v>457169.8699999997</v>
      </c>
      <c r="F12" s="21">
        <v>211704.39000000019</v>
      </c>
      <c r="G12" s="7"/>
      <c r="H12" s="22">
        <f t="shared" si="0"/>
        <v>0.35406264540338694</v>
      </c>
      <c r="I12" s="22">
        <f t="shared" si="1"/>
        <v>0.24199880792381284</v>
      </c>
      <c r="J12" s="30">
        <f t="shared" si="2"/>
        <v>0.11206383747957414</v>
      </c>
      <c r="L12" s="24">
        <v>1889571</v>
      </c>
      <c r="M12" s="25">
        <f t="shared" si="3"/>
        <v>0.24194373749385442</v>
      </c>
      <c r="N12" s="24">
        <f>+'[2]GASTO X OP'!AB60</f>
        <v>457169.87</v>
      </c>
      <c r="O12" s="26">
        <f>+[2]GastoRendPack!V6</f>
        <v>25.7</v>
      </c>
      <c r="P12" s="24">
        <f>+[2]GastoRendPack!V7</f>
        <v>1542000</v>
      </c>
      <c r="Q12" s="24">
        <v>335064.73846153845</v>
      </c>
      <c r="R12" s="24">
        <f t="shared" si="4"/>
        <v>13037.538461538461</v>
      </c>
      <c r="S12" s="25">
        <f t="shared" si="5"/>
        <v>0.21729230769230767</v>
      </c>
      <c r="T12" s="24">
        <f t="shared" si="6"/>
        <v>347571</v>
      </c>
      <c r="U12" s="24">
        <f t="shared" si="7"/>
        <v>122105.13153846154</v>
      </c>
      <c r="V12" s="24">
        <f t="shared" si="8"/>
        <v>-75524.504676923068</v>
      </c>
      <c r="W12" s="24">
        <f t="shared" si="9"/>
        <v>46580.626861538491</v>
      </c>
      <c r="X12" s="27">
        <f t="shared" si="11"/>
        <v>0</v>
      </c>
      <c r="Y12" s="28"/>
      <c r="Z12" s="29">
        <f t="shared" si="10"/>
        <v>0.22540272373540857</v>
      </c>
    </row>
    <row r="13" spans="2:26" x14ac:dyDescent="0.35">
      <c r="B13" s="19" t="s">
        <v>36</v>
      </c>
      <c r="C13" s="20">
        <v>1164201</v>
      </c>
      <c r="D13" s="21">
        <v>411418.85000000003</v>
      </c>
      <c r="E13" s="21">
        <v>290592.78999999998</v>
      </c>
      <c r="F13" s="21">
        <v>120826.06000000011</v>
      </c>
      <c r="G13" s="7"/>
      <c r="H13" s="22">
        <f t="shared" si="0"/>
        <v>0.35339159646830748</v>
      </c>
      <c r="I13" s="22">
        <f t="shared" si="1"/>
        <v>0.24960706098001975</v>
      </c>
      <c r="J13" s="30">
        <f t="shared" si="2"/>
        <v>0.10378453548828777</v>
      </c>
      <c r="L13" s="24">
        <v>1165731</v>
      </c>
      <c r="M13" s="25">
        <f t="shared" si="3"/>
        <v>0.24927944783144657</v>
      </c>
      <c r="N13" s="24">
        <f>+'[2]GASTO X OP'!AB61</f>
        <v>290592.78000000003</v>
      </c>
      <c r="O13" s="26">
        <f>+[2]GastoRendPack!Y6</f>
        <v>16.89</v>
      </c>
      <c r="P13" s="24">
        <f>+[2]GastoRendPack!Y7</f>
        <v>1013400</v>
      </c>
      <c r="Q13" s="24">
        <v>220204.02461538464</v>
      </c>
      <c r="R13" s="24">
        <f t="shared" si="4"/>
        <v>13037.538461538463</v>
      </c>
      <c r="S13" s="25">
        <f t="shared" si="5"/>
        <v>0.2172923076923077</v>
      </c>
      <c r="T13" s="24">
        <f t="shared" si="6"/>
        <v>152331</v>
      </c>
      <c r="U13" s="24">
        <f t="shared" si="7"/>
        <v>70388.75538461539</v>
      </c>
      <c r="V13" s="24">
        <f t="shared" si="8"/>
        <v>-33100.354523076923</v>
      </c>
      <c r="W13" s="24">
        <f t="shared" si="9"/>
        <v>37288.400861538488</v>
      </c>
      <c r="X13" s="27">
        <f t="shared" si="11"/>
        <v>0</v>
      </c>
      <c r="Y13" s="28"/>
      <c r="Z13" s="29">
        <f t="shared" si="10"/>
        <v>0.15031675547661338</v>
      </c>
    </row>
    <row r="14" spans="2:26" s="34" customFormat="1" x14ac:dyDescent="0.35">
      <c r="B14" s="19" t="s">
        <v>37</v>
      </c>
      <c r="C14" s="20">
        <v>1025842</v>
      </c>
      <c r="D14" s="21">
        <v>373616.78</v>
      </c>
      <c r="E14" s="21">
        <v>220467.15999999995</v>
      </c>
      <c r="F14" s="21">
        <v>153149.62000000011</v>
      </c>
      <c r="G14" s="31"/>
      <c r="H14" s="32">
        <f t="shared" si="0"/>
        <v>0.3642049945313216</v>
      </c>
      <c r="I14" s="32">
        <f t="shared" si="1"/>
        <v>0.21491336872539821</v>
      </c>
      <c r="J14" s="33">
        <f t="shared" si="2"/>
        <v>0.14929162580592345</v>
      </c>
      <c r="L14" s="35">
        <v>1027522</v>
      </c>
      <c r="M14" s="36">
        <f t="shared" si="3"/>
        <v>0.21492420600240189</v>
      </c>
      <c r="N14" s="35">
        <f>+'[2]GASTO X OP'!AB62</f>
        <v>220839.35</v>
      </c>
      <c r="O14" s="37">
        <f>+[2]GastoRendPack!BF6</f>
        <v>14.99</v>
      </c>
      <c r="P14" s="35">
        <f>+[2]GastoRendPack!BF7</f>
        <v>974350</v>
      </c>
      <c r="Q14" s="35">
        <v>211718.76</v>
      </c>
      <c r="R14" s="35">
        <f t="shared" si="4"/>
        <v>14124</v>
      </c>
      <c r="S14" s="36">
        <f t="shared" si="5"/>
        <v>0.2172923076923077</v>
      </c>
      <c r="T14" s="35">
        <f t="shared" si="6"/>
        <v>53172</v>
      </c>
      <c r="U14" s="35">
        <f t="shared" si="7"/>
        <v>9120.5899999999965</v>
      </c>
      <c r="V14" s="35">
        <f t="shared" si="8"/>
        <v>-11553.866584615385</v>
      </c>
      <c r="W14" s="35">
        <f t="shared" si="9"/>
        <v>-2433.2765846153984</v>
      </c>
      <c r="X14" s="38">
        <f t="shared" si="11"/>
        <v>9.5496943686157465E-12</v>
      </c>
      <c r="Z14" s="29">
        <f t="shared" si="10"/>
        <v>5.457176579257967E-2</v>
      </c>
    </row>
    <row r="15" spans="2:26" s="34" customFormat="1" x14ac:dyDescent="0.35">
      <c r="B15" s="19" t="s">
        <v>38</v>
      </c>
      <c r="C15" s="20">
        <v>3009481.26</v>
      </c>
      <c r="D15" s="21">
        <v>791461.81999999983</v>
      </c>
      <c r="E15" s="21">
        <v>684699.36506108346</v>
      </c>
      <c r="F15" s="21">
        <v>106762.45493891693</v>
      </c>
      <c r="G15" s="31"/>
      <c r="H15" s="32">
        <f t="shared" si="0"/>
        <v>0.26298944955051817</v>
      </c>
      <c r="I15" s="32">
        <f t="shared" si="1"/>
        <v>0.22751408163315279</v>
      </c>
      <c r="J15" s="33">
        <f t="shared" si="2"/>
        <v>3.547536791736558E-2</v>
      </c>
      <c r="L15" s="35">
        <v>3041500</v>
      </c>
      <c r="M15" s="36">
        <f t="shared" si="3"/>
        <v>0.22663279302975506</v>
      </c>
      <c r="N15" s="35">
        <f>+'[2]GASTO X OP'!AB63</f>
        <v>689303.64</v>
      </c>
      <c r="O15" s="37">
        <f>+[2]GastoRendPack!BI6</f>
        <v>37.590000000000003</v>
      </c>
      <c r="P15" s="35">
        <f>+[2]GastoRendPack!BI7</f>
        <v>2443350</v>
      </c>
      <c r="Q15" s="35">
        <f>+[2]GastoRendPack!BI8</f>
        <v>530921.16</v>
      </c>
      <c r="R15" s="35">
        <f t="shared" si="4"/>
        <v>14124</v>
      </c>
      <c r="S15" s="36">
        <f t="shared" si="5"/>
        <v>0.2172923076923077</v>
      </c>
      <c r="T15" s="35">
        <f t="shared" si="6"/>
        <v>598150</v>
      </c>
      <c r="U15" s="35">
        <f t="shared" si="7"/>
        <v>158382.47999999998</v>
      </c>
      <c r="V15" s="35">
        <f t="shared" si="8"/>
        <v>-129973.39384615385</v>
      </c>
      <c r="W15" s="35">
        <f t="shared" si="9"/>
        <v>28409.086153846136</v>
      </c>
      <c r="X15" s="38">
        <f t="shared" si="11"/>
        <v>0</v>
      </c>
      <c r="Z15" s="29">
        <f t="shared" si="10"/>
        <v>0.24480733419280906</v>
      </c>
    </row>
    <row r="16" spans="2:26" s="34" customFormat="1" ht="15.75" customHeight="1" x14ac:dyDescent="0.35">
      <c r="B16" s="19" t="s">
        <v>39</v>
      </c>
      <c r="C16" s="20">
        <v>2066936.52</v>
      </c>
      <c r="D16" s="21">
        <v>349381.69999999984</v>
      </c>
      <c r="E16" s="21">
        <v>480840.95739767811</v>
      </c>
      <c r="F16" s="21">
        <v>-131459.25739767804</v>
      </c>
      <c r="G16" s="31"/>
      <c r="H16" s="32">
        <f t="shared" si="0"/>
        <v>0.16903358986564321</v>
      </c>
      <c r="I16" s="32">
        <f t="shared" si="1"/>
        <v>0.2326346033102546</v>
      </c>
      <c r="J16" s="33">
        <f t="shared" si="2"/>
        <v>-6.3601013444611276E-2</v>
      </c>
      <c r="L16" s="35">
        <v>2069980</v>
      </c>
      <c r="M16" s="36">
        <f t="shared" si="3"/>
        <v>0.23229743282543791</v>
      </c>
      <c r="N16" s="35">
        <f>+'[2]GASTO X OP'!AB64</f>
        <v>480851.04</v>
      </c>
      <c r="O16" s="37">
        <v>26.81</v>
      </c>
      <c r="P16" s="35">
        <f>+[2]GastoRendPack!BL7</f>
        <v>1742650</v>
      </c>
      <c r="Q16" s="35">
        <f>+[2]GastoRendPack!BL8</f>
        <v>378664.44</v>
      </c>
      <c r="R16" s="35">
        <f t="shared" si="4"/>
        <v>14124</v>
      </c>
      <c r="S16" s="36">
        <f t="shared" si="5"/>
        <v>0.2172923076923077</v>
      </c>
      <c r="T16" s="35">
        <f t="shared" si="6"/>
        <v>327330</v>
      </c>
      <c r="U16" s="35">
        <f t="shared" si="7"/>
        <v>102186.59999999998</v>
      </c>
      <c r="V16" s="35">
        <f t="shared" si="8"/>
        <v>-71126.29107692308</v>
      </c>
      <c r="W16" s="35">
        <f t="shared" si="9"/>
        <v>31060.308923076871</v>
      </c>
      <c r="X16" s="38">
        <f t="shared" si="11"/>
        <v>0</v>
      </c>
      <c r="Z16" s="29">
        <f t="shared" si="10"/>
        <v>0.18783461968840559</v>
      </c>
    </row>
    <row r="17" spans="2:26" s="34" customFormat="1" x14ac:dyDescent="0.35">
      <c r="B17" s="19" t="s">
        <v>40</v>
      </c>
      <c r="C17" s="20">
        <v>1738635.182</v>
      </c>
      <c r="D17" s="21">
        <v>265896.52999999991</v>
      </c>
      <c r="E17" s="21">
        <v>479355.41829999984</v>
      </c>
      <c r="F17" s="21">
        <v>-213458.88829999999</v>
      </c>
      <c r="G17" s="31"/>
      <c r="H17" s="32">
        <f t="shared" si="0"/>
        <v>0.1529340558346069</v>
      </c>
      <c r="I17" s="32">
        <f t="shared" si="1"/>
        <v>0.27570787895168675</v>
      </c>
      <c r="J17" s="33">
        <f t="shared" si="2"/>
        <v>-0.12277382311707988</v>
      </c>
      <c r="L17" s="35">
        <v>1769890</v>
      </c>
      <c r="M17" s="36">
        <f t="shared" si="3"/>
        <v>0.27098840040906497</v>
      </c>
      <c r="N17" s="35">
        <f>+'[2]GASTO X OP'!AB65</f>
        <v>479619.66</v>
      </c>
      <c r="O17" s="37">
        <v>26.58</v>
      </c>
      <c r="P17" s="35">
        <f>+[2]GastoRendPack!BO7</f>
        <v>1727700</v>
      </c>
      <c r="Q17" s="35">
        <f>+[2]GastoRendPack!BO8</f>
        <v>375415.92</v>
      </c>
      <c r="R17" s="35">
        <f t="shared" si="4"/>
        <v>14124</v>
      </c>
      <c r="S17" s="36">
        <f t="shared" si="5"/>
        <v>0.21729230769230767</v>
      </c>
      <c r="T17" s="35">
        <f t="shared" si="6"/>
        <v>42190</v>
      </c>
      <c r="U17" s="35">
        <f t="shared" si="7"/>
        <v>104203.73999999999</v>
      </c>
      <c r="V17" s="35">
        <f t="shared" si="8"/>
        <v>-9167.5624615384604</v>
      </c>
      <c r="W17" s="35">
        <f t="shared" si="9"/>
        <v>95036.177538461561</v>
      </c>
      <c r="X17" s="38">
        <f t="shared" si="11"/>
        <v>0</v>
      </c>
      <c r="Z17" s="29">
        <f t="shared" si="10"/>
        <v>2.4419748798981306E-2</v>
      </c>
    </row>
    <row r="18" spans="2:26" s="34" customFormat="1" x14ac:dyDescent="0.35">
      <c r="B18" s="19" t="s">
        <v>41</v>
      </c>
      <c r="C18" s="20">
        <v>575928.03799999994</v>
      </c>
      <c r="D18" s="21">
        <v>74774.419999999838</v>
      </c>
      <c r="E18" s="21">
        <v>182802.51333293406</v>
      </c>
      <c r="F18" s="21">
        <v>-108028.09333293405</v>
      </c>
      <c r="G18" s="31"/>
      <c r="H18" s="32">
        <f t="shared" si="0"/>
        <v>0.12983292193876458</v>
      </c>
      <c r="I18" s="32">
        <f t="shared" si="1"/>
        <v>0.31740512923757686</v>
      </c>
      <c r="J18" s="33">
        <f t="shared" si="2"/>
        <v>-0.18757220729881197</v>
      </c>
      <c r="L18" s="35">
        <v>448906</v>
      </c>
      <c r="M18" s="36">
        <f t="shared" si="3"/>
        <v>0.37274629877969995</v>
      </c>
      <c r="N18" s="35">
        <f>+'[2]GASTO X OP'!AB66</f>
        <v>167328.04999999999</v>
      </c>
      <c r="O18" s="37">
        <v>18.73</v>
      </c>
      <c r="P18" s="35">
        <f>+[2]GastoRendPack!BR7</f>
        <v>1217450</v>
      </c>
      <c r="Q18" s="35">
        <f>+[2]GastoRendPack!BR8</f>
        <v>264542.52</v>
      </c>
      <c r="R18" s="35">
        <f t="shared" si="4"/>
        <v>14124</v>
      </c>
      <c r="S18" s="36">
        <f t="shared" si="5"/>
        <v>0.2172923076923077</v>
      </c>
      <c r="T18" s="35">
        <f t="shared" si="6"/>
        <v>-768544</v>
      </c>
      <c r="U18" s="35">
        <f t="shared" si="7"/>
        <v>-97214.47000000003</v>
      </c>
      <c r="V18" s="35">
        <f t="shared" si="8"/>
        <v>166998.69932307693</v>
      </c>
      <c r="W18" s="35">
        <f t="shared" si="9"/>
        <v>69784.229323076899</v>
      </c>
      <c r="X18" s="38">
        <f>+U18+V18-W18</f>
        <v>0</v>
      </c>
      <c r="Y18" s="39">
        <f>+L18/O18</f>
        <v>23967.218366257341</v>
      </c>
      <c r="Z18" s="29">
        <f t="shared" si="10"/>
        <v>-0.63127356359604092</v>
      </c>
    </row>
    <row r="19" spans="2:26" s="46" customFormat="1" x14ac:dyDescent="0.35">
      <c r="B19" s="40" t="s">
        <v>42</v>
      </c>
      <c r="C19" s="41">
        <v>2049188</v>
      </c>
      <c r="D19" s="42">
        <v>874981.48999999976</v>
      </c>
      <c r="E19" s="42">
        <v>614287.38814999978</v>
      </c>
      <c r="F19" s="42">
        <v>260694.10184999992</v>
      </c>
      <c r="G19" s="43"/>
      <c r="H19" s="44">
        <f t="shared" si="0"/>
        <v>0.4269893684718043</v>
      </c>
      <c r="I19" s="44">
        <f t="shared" si="1"/>
        <v>0.29977112307411513</v>
      </c>
      <c r="J19" s="45">
        <f t="shared" si="2"/>
        <v>0.12721824539768919</v>
      </c>
      <c r="L19" s="47">
        <v>2049188</v>
      </c>
      <c r="M19" s="48">
        <f t="shared" si="3"/>
        <v>0.29977111909693011</v>
      </c>
      <c r="N19" s="47">
        <f>+'[2]GASTO X OP'!AB67</f>
        <v>614287.38</v>
      </c>
      <c r="O19" s="49">
        <v>40</v>
      </c>
      <c r="P19" s="47">
        <v>2154600</v>
      </c>
      <c r="Q19" s="47">
        <v>564960</v>
      </c>
      <c r="R19" s="47">
        <f t="shared" si="4"/>
        <v>14124</v>
      </c>
      <c r="S19" s="48">
        <f t="shared" si="5"/>
        <v>0.26221108326371484</v>
      </c>
      <c r="T19" s="47">
        <f t="shared" si="6"/>
        <v>-105412</v>
      </c>
      <c r="U19" s="47">
        <f t="shared" si="7"/>
        <v>49327.380000000005</v>
      </c>
      <c r="V19" s="47">
        <f t="shared" si="8"/>
        <v>27640.19470899471</v>
      </c>
      <c r="W19" s="47">
        <f t="shared" si="9"/>
        <v>76967.574708994725</v>
      </c>
      <c r="X19" s="50">
        <f t="shared" si="11"/>
        <v>0</v>
      </c>
      <c r="Y19" s="39">
        <f>+L19/O19</f>
        <v>51229.7</v>
      </c>
      <c r="Z19" s="29">
        <f t="shared" si="10"/>
        <v>-4.8924162257495588E-2</v>
      </c>
    </row>
    <row r="20" spans="2:26" s="34" customFormat="1" x14ac:dyDescent="0.35">
      <c r="B20" s="19" t="s">
        <v>43</v>
      </c>
      <c r="C20" s="20">
        <v>1693057</v>
      </c>
      <c r="D20" s="21">
        <v>264091.46000000002</v>
      </c>
      <c r="E20" s="21">
        <v>320623.45169999986</v>
      </c>
      <c r="F20" s="21">
        <v>-56531.991700000028</v>
      </c>
      <c r="H20" s="32">
        <f t="shared" si="0"/>
        <v>0.15598497865104366</v>
      </c>
      <c r="I20" s="32">
        <f t="shared" si="1"/>
        <v>0.18937546207835876</v>
      </c>
      <c r="J20" s="33">
        <f t="shared" si="2"/>
        <v>-3.3390483427315223E-2</v>
      </c>
      <c r="L20" s="35">
        <v>1668087</v>
      </c>
      <c r="M20" s="36">
        <f t="shared" si="3"/>
        <v>0.192210322363282</v>
      </c>
      <c r="N20" s="35">
        <f>+'[2]GASTO X OP'!AB68</f>
        <v>320623.53999999998</v>
      </c>
      <c r="O20" s="37">
        <v>25.7</v>
      </c>
      <c r="P20" s="35">
        <f>+[2]GastoRendPack!BX7</f>
        <v>1670500</v>
      </c>
      <c r="Q20" s="35">
        <f>+[2]GastoRendPack!BX8</f>
        <v>362986.8</v>
      </c>
      <c r="R20" s="35">
        <f t="shared" si="4"/>
        <v>14124</v>
      </c>
      <c r="S20" s="36">
        <f t="shared" si="5"/>
        <v>0.21729230769230767</v>
      </c>
      <c r="T20" s="35">
        <f t="shared" si="6"/>
        <v>-2413</v>
      </c>
      <c r="U20" s="35">
        <f t="shared" si="7"/>
        <v>-42363.260000000009</v>
      </c>
      <c r="V20" s="35">
        <f t="shared" si="8"/>
        <v>524.3263384615384</v>
      </c>
      <c r="W20" s="35">
        <f t="shared" si="9"/>
        <v>-41838.933661538438</v>
      </c>
      <c r="X20" s="38">
        <f t="shared" si="11"/>
        <v>0</v>
      </c>
      <c r="Y20" s="39">
        <f>+L20/O20</f>
        <v>64906.108949416346</v>
      </c>
      <c r="Z20" s="29">
        <f t="shared" si="10"/>
        <v>-1.4444777012870397E-3</v>
      </c>
    </row>
    <row r="21" spans="2:26" s="34" customFormat="1" x14ac:dyDescent="0.35">
      <c r="B21" s="19" t="s">
        <v>44</v>
      </c>
      <c r="C21" s="20">
        <v>1083694</v>
      </c>
      <c r="D21" s="21">
        <v>166139.22000000006</v>
      </c>
      <c r="E21" s="21">
        <v>281489.88547499996</v>
      </c>
      <c r="F21" s="21">
        <v>-115350.66547499994</v>
      </c>
      <c r="H21" s="32">
        <f t="shared" si="0"/>
        <v>0.15330824014897199</v>
      </c>
      <c r="I21" s="32">
        <f t="shared" si="1"/>
        <v>0.25975034047895434</v>
      </c>
      <c r="J21" s="33">
        <f t="shared" si="2"/>
        <v>-0.1064421003299824</v>
      </c>
      <c r="L21" s="35">
        <v>1083694</v>
      </c>
      <c r="M21" s="36">
        <f t="shared" si="3"/>
        <v>0.25975018778363629</v>
      </c>
      <c r="N21" s="35">
        <f>+'[2]GASTO X OP'!AB69</f>
        <v>281489.71999999997</v>
      </c>
      <c r="O21" s="37">
        <v>23.29</v>
      </c>
      <c r="P21" s="35">
        <f>+[2]GastoRendPack!CA7</f>
        <v>1513850</v>
      </c>
      <c r="Q21" s="35">
        <f>+[2]GastoRendPack!CA8</f>
        <v>328947.95999999996</v>
      </c>
      <c r="R21" s="35">
        <f t="shared" si="4"/>
        <v>14123.999999999998</v>
      </c>
      <c r="S21" s="36">
        <f t="shared" si="5"/>
        <v>0.21729230769230767</v>
      </c>
      <c r="T21" s="35">
        <f t="shared" si="6"/>
        <v>-430156</v>
      </c>
      <c r="U21" s="35">
        <f t="shared" si="7"/>
        <v>-47458.239999999991</v>
      </c>
      <c r="V21" s="35">
        <f t="shared" si="8"/>
        <v>93469.589907692294</v>
      </c>
      <c r="W21" s="35">
        <f t="shared" si="9"/>
        <v>46011.349907692274</v>
      </c>
      <c r="X21" s="38">
        <f t="shared" si="11"/>
        <v>0</v>
      </c>
      <c r="Y21" s="39">
        <f>+L21/O21</f>
        <v>46530.442249892658</v>
      </c>
      <c r="Z21" s="29">
        <f t="shared" si="10"/>
        <v>-0.28414704230934373</v>
      </c>
    </row>
    <row r="22" spans="2:26" s="46" customFormat="1" x14ac:dyDescent="0.35">
      <c r="B22" s="40" t="s">
        <v>45</v>
      </c>
      <c r="C22" s="41">
        <v>1433740</v>
      </c>
      <c r="D22" s="42">
        <v>228214.45</v>
      </c>
      <c r="E22" s="42">
        <v>321098.62788886251</v>
      </c>
      <c r="F22" s="42">
        <v>-92884.177888862498</v>
      </c>
      <c r="H22" s="44">
        <f t="shared" si="0"/>
        <v>0.15917422266240741</v>
      </c>
      <c r="I22" s="44">
        <f t="shared" si="1"/>
        <v>0.22395875674031729</v>
      </c>
      <c r="J22" s="45">
        <f t="shared" si="2"/>
        <v>-6.4784534077909864E-2</v>
      </c>
      <c r="L22" s="47">
        <v>1384068</v>
      </c>
      <c r="M22" s="48">
        <f t="shared" si="3"/>
        <v>0.22121867567200457</v>
      </c>
      <c r="N22" s="47">
        <f>+'[2]GASTO X OP'!AB122</f>
        <v>306181.69</v>
      </c>
      <c r="O22" s="49">
        <v>36.43</v>
      </c>
      <c r="P22" s="47">
        <f>+[2]GastoRendPack!BU7</f>
        <v>2367950</v>
      </c>
      <c r="Q22" s="47">
        <f>+[2]GastoRendPack!BU8</f>
        <v>514537.32</v>
      </c>
      <c r="R22" s="47">
        <f t="shared" si="4"/>
        <v>14124</v>
      </c>
      <c r="S22" s="48">
        <f t="shared" si="5"/>
        <v>0.2172923076923077</v>
      </c>
      <c r="T22" s="47">
        <f t="shared" si="6"/>
        <v>-983882</v>
      </c>
      <c r="U22" s="47">
        <f t="shared" si="7"/>
        <v>-208355.63</v>
      </c>
      <c r="V22" s="47">
        <f t="shared" si="8"/>
        <v>213789.99027692308</v>
      </c>
      <c r="W22" s="47">
        <f t="shared" si="9"/>
        <v>5434.3602769230811</v>
      </c>
      <c r="X22" s="50">
        <f t="shared" si="11"/>
        <v>0</v>
      </c>
      <c r="Y22" s="39">
        <f>+L22/O22</f>
        <v>37992.53362613231</v>
      </c>
      <c r="Z22" s="29">
        <f t="shared" si="10"/>
        <v>-0.41549948267488757</v>
      </c>
    </row>
    <row r="23" spans="2:26" x14ac:dyDescent="0.35">
      <c r="B23" s="51" t="s">
        <v>46</v>
      </c>
      <c r="C23" s="52">
        <f>SUM(C6:C22)</f>
        <v>26843099</v>
      </c>
      <c r="D23" s="52">
        <f>SUM(D6:D22)</f>
        <v>7701661.4700000016</v>
      </c>
      <c r="E23" s="52">
        <f>SUM(E6:E22)</f>
        <v>7589662.9773055594</v>
      </c>
      <c r="F23" s="52">
        <f>SUM(F6:F22)</f>
        <v>111998.4926944428</v>
      </c>
      <c r="H23" s="44">
        <f>+D23/$C23</f>
        <v>0.28691402099288171</v>
      </c>
      <c r="I23" s="44">
        <f>+E23/$C23</f>
        <v>0.28274168259430699</v>
      </c>
      <c r="J23" s="45">
        <f>+F23/$D23</f>
        <v>1.454212096061433E-2</v>
      </c>
      <c r="L23" s="53">
        <f>SUM(L6:L22)</f>
        <v>26657592</v>
      </c>
      <c r="M23" s="54">
        <f t="shared" si="3"/>
        <v>0.28376614999584354</v>
      </c>
      <c r="N23" s="53">
        <f>SUM(N6:N22)</f>
        <v>7564522.2499999991</v>
      </c>
      <c r="O23" s="53">
        <f>SUM(O6:O22)</f>
        <v>470.00000000000006</v>
      </c>
      <c r="P23" s="53">
        <f>SUM(P6:P22)</f>
        <v>29005200</v>
      </c>
      <c r="Q23" s="53">
        <f>SUM(Q6:Q22)</f>
        <v>6559978.1502028499</v>
      </c>
      <c r="R23" s="24">
        <f t="shared" si="4"/>
        <v>13957.400319580531</v>
      </c>
      <c r="S23" s="54">
        <f>Q23/P23</f>
        <v>0.22616558928064107</v>
      </c>
      <c r="T23" s="53">
        <f>SUM(T6:T22)</f>
        <v>-2347608</v>
      </c>
      <c r="U23" s="53">
        <f>SUM(U6:U22)</f>
        <v>1004544.0997971509</v>
      </c>
      <c r="V23" s="53">
        <f>SUM(V6:V22)</f>
        <v>545793.26451379922</v>
      </c>
      <c r="W23" s="53">
        <f>SUM(W6:W22)</f>
        <v>1550337.3643109503</v>
      </c>
      <c r="X23" s="55">
        <f>(+M23-S23)*L23</f>
        <v>1535492.2465170957</v>
      </c>
      <c r="Y23" s="56">
        <f>+T23/P23</f>
        <v>-8.0937487071283773E-2</v>
      </c>
      <c r="Z23" s="29">
        <f t="shared" si="10"/>
        <v>-8.0937487071283773E-2</v>
      </c>
    </row>
    <row r="24" spans="2:26" x14ac:dyDescent="0.35">
      <c r="H24" s="44"/>
      <c r="I24" s="44"/>
      <c r="J24" s="44"/>
      <c r="L24" s="57">
        <f>L23/O23</f>
        <v>56718.280851063821</v>
      </c>
      <c r="M24" s="58"/>
      <c r="N24" s="57">
        <f>N23/O23</f>
        <v>16094.728191489357</v>
      </c>
      <c r="O24" s="58"/>
      <c r="P24" s="57">
        <f>P23/O23</f>
        <v>61713.191489361692</v>
      </c>
      <c r="Q24" s="57">
        <f>Q23/O23</f>
        <v>13957.400319580531</v>
      </c>
      <c r="U24" s="24">
        <f>+N23-Q23</f>
        <v>1004544.0997971492</v>
      </c>
      <c r="X24" s="59">
        <f>+X23/Q23</f>
        <v>0.23406971964832149</v>
      </c>
    </row>
    <row r="25" spans="2:26" x14ac:dyDescent="0.35">
      <c r="J25">
        <f>+L23/27000</f>
        <v>987.31822222222218</v>
      </c>
      <c r="L25" s="1">
        <f>+L23/O23</f>
        <v>56718.280851063821</v>
      </c>
      <c r="P25" s="1">
        <f>+L23-P23</f>
        <v>-2347608</v>
      </c>
      <c r="Q25" s="1">
        <f>+P23/27000</f>
        <v>1074.2666666666667</v>
      </c>
      <c r="S25" s="35">
        <f>+S23*27000</f>
        <v>6106.470910577309</v>
      </c>
      <c r="T25" s="29">
        <f>+T23/P23</f>
        <v>-8.0937487071283773E-2</v>
      </c>
    </row>
    <row r="26" spans="2:26" x14ac:dyDescent="0.35">
      <c r="S26" s="35"/>
      <c r="T26" s="29"/>
    </row>
    <row r="27" spans="2:26" ht="3.5" customHeight="1" x14ac:dyDescent="0.35">
      <c r="S27" s="35"/>
      <c r="T27" s="29"/>
    </row>
    <row r="28" spans="2:26" ht="15" customHeight="1" x14ac:dyDescent="0.35">
      <c r="Q28" s="61">
        <f>+Q23-Q25</f>
        <v>6558903.8835361833</v>
      </c>
      <c r="R28" s="62"/>
      <c r="S28" s="63"/>
      <c r="T28" s="64">
        <f>+P24-L24</f>
        <v>4994.9106382978716</v>
      </c>
      <c r="U28" s="65">
        <f>+T28/P24</f>
        <v>8.0937487071283773E-2</v>
      </c>
      <c r="V28" s="66"/>
      <c r="W28" s="66"/>
    </row>
    <row r="29" spans="2:26" ht="22.5" customHeight="1" x14ac:dyDescent="0.35">
      <c r="Q29" s="69">
        <f>+Q25*10000</f>
        <v>10742666.666666666</v>
      </c>
      <c r="R29" s="70">
        <f>+Q29/P23</f>
        <v>0.37037037037037035</v>
      </c>
      <c r="S29" s="63"/>
      <c r="T29" s="71"/>
      <c r="U29" s="71"/>
      <c r="V29" s="71"/>
      <c r="W29" s="71"/>
    </row>
    <row r="30" spans="2:26" ht="43.5" customHeight="1" x14ac:dyDescent="0.35">
      <c r="Q30" s="83"/>
      <c r="R30" s="83"/>
      <c r="S30" s="62">
        <f>+S13*P14</f>
        <v>211718.76</v>
      </c>
      <c r="T30" s="84"/>
      <c r="U30" s="83"/>
      <c r="V30" s="83"/>
      <c r="W30" s="83"/>
      <c r="X30" s="83"/>
    </row>
    <row r="31" spans="2:26" x14ac:dyDescent="0.35">
      <c r="Q31" s="69"/>
      <c r="R31" s="98"/>
      <c r="S31" s="60"/>
      <c r="T31" s="70"/>
      <c r="U31" s="99"/>
      <c r="V31" s="100"/>
      <c r="W31" s="62"/>
      <c r="X31" s="100"/>
    </row>
    <row r="32" spans="2:26" x14ac:dyDescent="0.35">
      <c r="Q32" s="69"/>
      <c r="R32" s="98"/>
      <c r="S32" s="60"/>
      <c r="T32" s="70"/>
      <c r="U32" s="99"/>
      <c r="V32" s="100"/>
      <c r="W32" s="62"/>
      <c r="X32" s="100"/>
    </row>
    <row r="33" spans="1:24" x14ac:dyDescent="0.35">
      <c r="Q33" s="69"/>
      <c r="R33" s="98"/>
      <c r="S33" s="60"/>
      <c r="T33" s="70"/>
      <c r="U33" s="99"/>
      <c r="V33" s="100"/>
      <c r="W33" s="62"/>
      <c r="X33" s="100"/>
    </row>
    <row r="34" spans="1:24" x14ac:dyDescent="0.35">
      <c r="Q34" s="69"/>
      <c r="R34" s="98"/>
      <c r="S34" s="60"/>
      <c r="T34" s="70"/>
      <c r="U34" s="99"/>
      <c r="V34" s="100"/>
      <c r="W34" s="62"/>
      <c r="X34" s="100"/>
    </row>
    <row r="35" spans="1:24" hidden="1" x14ac:dyDescent="0.35">
      <c r="Q35" s="69"/>
      <c r="R35" s="98"/>
      <c r="S35" s="60"/>
      <c r="T35" s="70"/>
      <c r="U35" s="99"/>
      <c r="V35" s="100"/>
      <c r="W35" s="62"/>
      <c r="X35" s="100"/>
    </row>
    <row r="36" spans="1:24" hidden="1" x14ac:dyDescent="0.35">
      <c r="Q36" s="69"/>
      <c r="R36" s="98"/>
      <c r="S36" s="60"/>
      <c r="T36" s="70"/>
      <c r="U36" s="99"/>
      <c r="V36" s="100"/>
      <c r="W36" s="62"/>
      <c r="X36" s="100"/>
    </row>
    <row r="37" spans="1:24" hidden="1" x14ac:dyDescent="0.35">
      <c r="Q37" s="69"/>
      <c r="R37" s="98"/>
      <c r="S37" s="60"/>
      <c r="T37" s="70"/>
      <c r="U37" s="99"/>
      <c r="V37" s="100"/>
      <c r="W37" s="62"/>
      <c r="X37" s="100"/>
    </row>
    <row r="38" spans="1:24" hidden="1" x14ac:dyDescent="0.35">
      <c r="Q38" s="69"/>
      <c r="R38" s="98"/>
      <c r="S38" s="60"/>
      <c r="T38" s="70"/>
      <c r="U38" s="99"/>
      <c r="V38" s="100"/>
      <c r="W38" s="62"/>
      <c r="X38" s="100"/>
    </row>
    <row r="39" spans="1:24" hidden="1" x14ac:dyDescent="0.35">
      <c r="Q39" s="69"/>
      <c r="R39" s="98"/>
      <c r="S39" s="60"/>
      <c r="T39" s="70"/>
      <c r="U39" s="99"/>
      <c r="V39" s="100"/>
      <c r="W39" s="62"/>
      <c r="X39" s="100"/>
    </row>
    <row r="40" spans="1:24" hidden="1" x14ac:dyDescent="0.35">
      <c r="Q40" s="69"/>
      <c r="R40" s="98"/>
      <c r="S40" s="60"/>
      <c r="T40" s="70"/>
      <c r="U40" s="99"/>
      <c r="V40" s="100"/>
      <c r="W40" s="62"/>
      <c r="X40" s="100"/>
    </row>
    <row r="41" spans="1:24" x14ac:dyDescent="0.35">
      <c r="Q41" s="69"/>
      <c r="R41" s="98"/>
      <c r="S41" s="60"/>
      <c r="T41" s="70"/>
      <c r="U41" s="99"/>
      <c r="V41" s="100"/>
      <c r="W41" s="62"/>
      <c r="X41" s="100"/>
    </row>
    <row r="42" spans="1:24" x14ac:dyDescent="0.35">
      <c r="Q42" s="69"/>
      <c r="R42" s="98"/>
      <c r="S42" s="60"/>
      <c r="T42" s="70"/>
      <c r="U42" s="99"/>
      <c r="V42" s="100"/>
      <c r="W42" s="62"/>
      <c r="X42" s="100"/>
    </row>
    <row r="43" spans="1:24" x14ac:dyDescent="0.35">
      <c r="Q43" s="69"/>
      <c r="R43" s="98"/>
      <c r="S43" s="60"/>
      <c r="T43" s="70"/>
      <c r="U43" s="99"/>
      <c r="V43" s="100"/>
      <c r="W43" s="62"/>
      <c r="X43" s="100"/>
    </row>
    <row r="44" spans="1:24" x14ac:dyDescent="0.35">
      <c r="Q44" s="69"/>
      <c r="R44" s="98"/>
      <c r="S44" s="60"/>
      <c r="T44" s="70"/>
      <c r="U44" s="99"/>
      <c r="V44" s="100"/>
      <c r="W44" s="62"/>
      <c r="X44" s="100"/>
    </row>
    <row r="45" spans="1:24" x14ac:dyDescent="0.35">
      <c r="Q45" s="69"/>
      <c r="R45" s="98"/>
      <c r="S45" s="60">
        <f>807+71</f>
        <v>878</v>
      </c>
      <c r="T45" s="70"/>
      <c r="U45" s="99"/>
      <c r="V45" s="100"/>
      <c r="W45" s="62"/>
      <c r="X45" s="100"/>
    </row>
    <row r="46" spans="1:24" x14ac:dyDescent="0.35">
      <c r="Q46" s="69"/>
      <c r="R46" s="98"/>
      <c r="S46" s="60"/>
      <c r="T46" s="70"/>
      <c r="U46" s="99"/>
      <c r="V46" s="100"/>
      <c r="W46" s="62"/>
      <c r="X46" s="100"/>
    </row>
    <row r="47" spans="1:24" x14ac:dyDescent="0.35">
      <c r="A47" s="109"/>
      <c r="Q47" s="69"/>
      <c r="R47" s="98"/>
      <c r="S47" s="60"/>
      <c r="T47" s="70"/>
      <c r="U47" s="99"/>
      <c r="V47" s="100"/>
      <c r="W47" s="62"/>
      <c r="X47" s="100"/>
    </row>
    <row r="48" spans="1:24" x14ac:dyDescent="0.35">
      <c r="Q48" s="79"/>
      <c r="R48" s="79"/>
      <c r="S48" s="79"/>
      <c r="T48" s="124"/>
      <c r="U48" s="79"/>
      <c r="V48" s="79"/>
      <c r="W48" s="79"/>
      <c r="X48" s="79"/>
    </row>
    <row r="49" spans="11:24" x14ac:dyDescent="0.35">
      <c r="Q49" s="79"/>
      <c r="R49" s="79"/>
      <c r="S49" s="79"/>
      <c r="T49" s="124"/>
      <c r="U49" s="79"/>
      <c r="V49" s="79"/>
      <c r="W49" s="79"/>
      <c r="X49" s="79"/>
    </row>
    <row r="50" spans="11:24" x14ac:dyDescent="0.35">
      <c r="Q50" s="79"/>
      <c r="R50" s="124"/>
      <c r="S50" s="79"/>
      <c r="T50" s="79"/>
      <c r="U50" s="79"/>
      <c r="V50" s="79"/>
      <c r="W50"/>
    </row>
    <row r="51" spans="11:24" x14ac:dyDescent="0.35">
      <c r="K51" s="1"/>
      <c r="L51"/>
      <c r="M51" s="79"/>
      <c r="N51"/>
      <c r="O51" s="79"/>
      <c r="P51" s="79"/>
      <c r="Q51" s="79"/>
      <c r="R51" s="124"/>
      <c r="S51" s="79"/>
      <c r="T51" s="79"/>
      <c r="U51" s="79"/>
      <c r="V51" s="79"/>
      <c r="W51"/>
    </row>
    <row r="52" spans="11:24" x14ac:dyDescent="0.35">
      <c r="K52" s="1"/>
      <c r="L52"/>
      <c r="M52" s="1"/>
      <c r="N52"/>
      <c r="O52" s="1"/>
      <c r="R52" s="2"/>
      <c r="S52" s="1"/>
      <c r="W52"/>
    </row>
  </sheetData>
  <mergeCells count="8">
    <mergeCell ref="L4:N4"/>
    <mergeCell ref="O4:S4"/>
    <mergeCell ref="T4:X4"/>
    <mergeCell ref="B2:X2"/>
    <mergeCell ref="B3:J3"/>
    <mergeCell ref="L3:N3"/>
    <mergeCell ref="O3:S3"/>
    <mergeCell ref="T3:X3"/>
  </mergeCells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97EC9-CB0A-45A3-87CB-666B45D84BEE}">
  <dimension ref="B1:P24"/>
  <sheetViews>
    <sheetView zoomScale="80" zoomScaleNormal="80" workbookViewId="0">
      <selection activeCell="H18" sqref="H18"/>
    </sheetView>
  </sheetViews>
  <sheetFormatPr baseColWidth="10" defaultRowHeight="14.5" x14ac:dyDescent="0.35"/>
  <cols>
    <col min="12" max="12" width="1.7265625" customWidth="1"/>
  </cols>
  <sheetData>
    <row r="1" spans="2:16" ht="15" thickBot="1" x14ac:dyDescent="0.4"/>
    <row r="2" spans="2:16" ht="15" thickBot="1" x14ac:dyDescent="0.4">
      <c r="B2" s="182" t="s">
        <v>47</v>
      </c>
      <c r="C2" s="183"/>
      <c r="D2" s="183"/>
      <c r="E2" s="183"/>
      <c r="F2" s="183"/>
      <c r="G2" s="183"/>
      <c r="H2" s="183"/>
      <c r="I2" s="183"/>
      <c r="J2" s="183"/>
      <c r="K2" s="184"/>
      <c r="L2" s="126"/>
      <c r="M2" s="182"/>
      <c r="N2" s="183"/>
      <c r="O2" s="183"/>
      <c r="P2" s="184"/>
    </row>
    <row r="3" spans="2:16" ht="15" thickBot="1" x14ac:dyDescent="0.4">
      <c r="B3" s="67"/>
      <c r="C3" s="185" t="s">
        <v>48</v>
      </c>
      <c r="D3" s="186"/>
      <c r="E3" s="187"/>
      <c r="F3" s="182" t="s">
        <v>49</v>
      </c>
      <c r="G3" s="183"/>
      <c r="H3" s="184"/>
      <c r="I3" s="182" t="s">
        <v>50</v>
      </c>
      <c r="J3" s="183"/>
      <c r="K3" s="184"/>
      <c r="L3" s="68"/>
      <c r="M3" s="188" t="s">
        <v>51</v>
      </c>
      <c r="N3" s="189"/>
      <c r="O3" s="189"/>
      <c r="P3" s="190"/>
    </row>
    <row r="4" spans="2:16" ht="42" x14ac:dyDescent="0.35">
      <c r="B4" s="72" t="s">
        <v>8</v>
      </c>
      <c r="C4" s="73" t="s">
        <v>52</v>
      </c>
      <c r="D4" s="74" t="s">
        <v>53</v>
      </c>
      <c r="E4" s="75" t="s">
        <v>54</v>
      </c>
      <c r="F4" s="76" t="s">
        <v>55</v>
      </c>
      <c r="G4" s="77" t="s">
        <v>56</v>
      </c>
      <c r="H4" s="78" t="s">
        <v>57</v>
      </c>
      <c r="I4" s="76" t="s">
        <v>58</v>
      </c>
      <c r="J4" s="77" t="s">
        <v>59</v>
      </c>
      <c r="K4" s="78" t="s">
        <v>60</v>
      </c>
      <c r="L4" s="79"/>
      <c r="M4" s="80" t="s">
        <v>61</v>
      </c>
      <c r="N4" s="81" t="s">
        <v>62</v>
      </c>
      <c r="O4" s="81" t="s">
        <v>63</v>
      </c>
      <c r="P4" s="82" t="s">
        <v>64</v>
      </c>
    </row>
    <row r="5" spans="2:16" x14ac:dyDescent="0.35">
      <c r="B5" s="85" t="s">
        <v>29</v>
      </c>
      <c r="C5" s="86">
        <v>10000</v>
      </c>
      <c r="D5" s="87">
        <f>-'1ReporteImpactoYRendvs Presup'!S6*27000</f>
        <v>-6355.6605241902298</v>
      </c>
      <c r="E5" s="88">
        <f t="shared" ref="E5:E22" si="0">+C5+D5</f>
        <v>3644.3394758097702</v>
      </c>
      <c r="F5" s="89">
        <f>+'1ReporteImpactoYRendvs Presup'!H6*27000</f>
        <v>9871.5369094149701</v>
      </c>
      <c r="G5" s="90">
        <f>-'1ReporteImpactoYRendvs Presup'!I6*27000</f>
        <v>-11008.889756341998</v>
      </c>
      <c r="H5" s="91">
        <f t="shared" ref="H5:H22" si="1">+F5+G5</f>
        <v>-1137.3528469270277</v>
      </c>
      <c r="I5" s="92">
        <f t="shared" ref="I5:I22" si="2">+H5-E5</f>
        <v>-4781.6923227367979</v>
      </c>
      <c r="J5" s="93">
        <f t="shared" ref="J5:J22" si="3">+F5-C5</f>
        <v>-128.46309058502993</v>
      </c>
      <c r="K5" s="88">
        <f t="shared" ref="K5:K22" si="4">+G5-D5</f>
        <v>-4653.229232151768</v>
      </c>
      <c r="L5" s="79"/>
      <c r="M5" s="94">
        <f>+'1ReporteImpactoYRendvs Presup'!L6-'1ReporteImpactoYRendvs Presup'!P6</f>
        <v>-80879</v>
      </c>
      <c r="N5" s="95">
        <f>+M5/'1ReporteImpactoYRendvs Presup'!P6</f>
        <v>-4.3273943285179244E-2</v>
      </c>
      <c r="O5" s="96">
        <f>+'1ReporteImpactoYRendvs Presup'!N6-'1ReporteImpactoYRendvs Presup'!Q6</f>
        <v>289129.51482549851</v>
      </c>
      <c r="P5" s="97">
        <f>+O5/'1ReporteImpactoYRendvs Presup'!Q6</f>
        <v>0.65718281465491535</v>
      </c>
    </row>
    <row r="6" spans="2:16" x14ac:dyDescent="0.35">
      <c r="B6" s="85" t="s">
        <v>30</v>
      </c>
      <c r="C6" s="86">
        <v>10000</v>
      </c>
      <c r="D6" s="87">
        <f>-'1ReporteImpactoYRendvs Presup'!S7*27000</f>
        <v>-6355.6605241902316</v>
      </c>
      <c r="E6" s="88">
        <f t="shared" si="0"/>
        <v>3644.3394758097684</v>
      </c>
      <c r="F6" s="89">
        <f>+'1ReporteImpactoYRendvs Presup'!H7*27000</f>
        <v>9445.3808742413185</v>
      </c>
      <c r="G6" s="90">
        <f>-'1ReporteImpactoYRendvs Presup'!I7*27000</f>
        <v>-11125.668383385071</v>
      </c>
      <c r="H6" s="91">
        <f t="shared" si="1"/>
        <v>-1680.2875091437527</v>
      </c>
      <c r="I6" s="92">
        <f t="shared" si="2"/>
        <v>-5324.6269849535211</v>
      </c>
      <c r="J6" s="93">
        <f t="shared" si="3"/>
        <v>-554.61912575868155</v>
      </c>
      <c r="K6" s="88">
        <f t="shared" si="4"/>
        <v>-4770.0078591948395</v>
      </c>
      <c r="L6" s="79"/>
      <c r="M6" s="94">
        <f>+'1ReporteImpactoYRendvs Presup'!L7-'1ReporteImpactoYRendvs Presup'!P7</f>
        <v>-434484</v>
      </c>
      <c r="N6" s="95">
        <f>+M6/'1ReporteImpactoYRendvs Presup'!P7</f>
        <v>-0.1926416600159617</v>
      </c>
      <c r="O6" s="96">
        <f>+'1ReporteImpactoYRendvs Presup'!N7-'1ReporteImpactoYRendvs Presup'!Q7</f>
        <v>219420.41087930941</v>
      </c>
      <c r="P6" s="97">
        <f>+O6/'1ReporteImpactoYRendvs Presup'!Q7</f>
        <v>0.41329154424587444</v>
      </c>
    </row>
    <row r="7" spans="2:16" x14ac:dyDescent="0.35">
      <c r="B7" s="85" t="s">
        <v>31</v>
      </c>
      <c r="C7" s="86">
        <v>10000</v>
      </c>
      <c r="D7" s="87">
        <f>-'1ReporteImpactoYRendvs Presup'!S8*27000</f>
        <v>-6355.6605241902307</v>
      </c>
      <c r="E7" s="88">
        <f t="shared" si="0"/>
        <v>3644.3394758097693</v>
      </c>
      <c r="F7" s="89">
        <f>+'1ReporteImpactoYRendvs Presup'!H8*27000</f>
        <v>9703.86085046474</v>
      </c>
      <c r="G7" s="90">
        <f>-'1ReporteImpactoYRendvs Presup'!I8*27000</f>
        <v>-9536.3705985980359</v>
      </c>
      <c r="H7" s="91">
        <f t="shared" si="1"/>
        <v>167.49025186670406</v>
      </c>
      <c r="I7" s="92">
        <f t="shared" si="2"/>
        <v>-3476.8492239430652</v>
      </c>
      <c r="J7" s="93">
        <f t="shared" si="3"/>
        <v>-296.13914953526</v>
      </c>
      <c r="K7" s="88">
        <f t="shared" si="4"/>
        <v>-3180.7100744078052</v>
      </c>
      <c r="L7" s="79"/>
      <c r="M7" s="94">
        <f>+'1ReporteImpactoYRendvs Presup'!L8-'1ReporteImpactoYRendvs Presup'!P8</f>
        <v>-387597</v>
      </c>
      <c r="N7" s="95">
        <f>+M7/'1ReporteImpactoYRendvs Presup'!P8</f>
        <v>-0.24095300261096605</v>
      </c>
      <c r="O7" s="96">
        <f>+'1ReporteImpactoYRendvs Presup'!N8-'1ReporteImpactoYRendvs Presup'!Q8</f>
        <v>52600.789658799826</v>
      </c>
      <c r="P7" s="97">
        <f>+O7/'1ReporteImpactoYRendvs Presup'!Q8</f>
        <v>0.13891440133664867</v>
      </c>
    </row>
    <row r="8" spans="2:16" x14ac:dyDescent="0.35">
      <c r="B8" s="85" t="s">
        <v>32</v>
      </c>
      <c r="C8" s="86">
        <v>10000</v>
      </c>
      <c r="D8" s="87">
        <f>-'1ReporteImpactoYRendvs Presup'!S9*27000</f>
        <v>-6355.6605241902307</v>
      </c>
      <c r="E8" s="88">
        <f t="shared" si="0"/>
        <v>3644.3394758097693</v>
      </c>
      <c r="F8" s="89">
        <f>+'1ReporteImpactoYRendvs Presup'!H9*27000</f>
        <v>9199.5555582929992</v>
      </c>
      <c r="G8" s="90">
        <f>-'1ReporteImpactoYRendvs Presup'!I9*27000</f>
        <v>-11202.045239187208</v>
      </c>
      <c r="H8" s="91">
        <f t="shared" si="1"/>
        <v>-2002.4896808942085</v>
      </c>
      <c r="I8" s="92">
        <f t="shared" si="2"/>
        <v>-5646.8291567039778</v>
      </c>
      <c r="J8" s="93">
        <f t="shared" si="3"/>
        <v>-800.44444170700081</v>
      </c>
      <c r="K8" s="88">
        <f t="shared" si="4"/>
        <v>-4846.384714996977</v>
      </c>
      <c r="L8" s="79"/>
      <c r="M8" s="94">
        <f>+'1ReporteImpactoYRendvs Presup'!L9-'1ReporteImpactoYRendvs Presup'!P9</f>
        <v>-566476</v>
      </c>
      <c r="N8" s="95">
        <f>+M8/'1ReporteImpactoYRendvs Presup'!P9</f>
        <v>-0.3552019061951342</v>
      </c>
      <c r="O8" s="96">
        <f>+'1ReporteImpactoYRendvs Presup'!N9-'1ReporteImpactoYRendvs Presup'!Q9</f>
        <v>62436.288371163711</v>
      </c>
      <c r="P8" s="97">
        <f>+O8/'1ReporteImpactoYRendvs Presup'!Q9</f>
        <v>0.16631595842754801</v>
      </c>
    </row>
    <row r="9" spans="2:16" x14ac:dyDescent="0.35">
      <c r="B9" s="85" t="s">
        <v>33</v>
      </c>
      <c r="C9" s="86">
        <v>10000</v>
      </c>
      <c r="D9" s="87">
        <f>-'1ReporteImpactoYRendvs Presup'!S10*27000</f>
        <v>-6355.6605241902298</v>
      </c>
      <c r="E9" s="88">
        <f t="shared" si="0"/>
        <v>3644.3394758097702</v>
      </c>
      <c r="F9" s="89">
        <f>+'1ReporteImpactoYRendvs Presup'!H10*27000</f>
        <v>9696.7956108242252</v>
      </c>
      <c r="G9" s="90">
        <f>-'1ReporteImpactoYRendvs Presup'!I10*27000</f>
        <v>-9701.5240141536378</v>
      </c>
      <c r="H9" s="91">
        <f t="shared" si="1"/>
        <v>-4.7284033294126857</v>
      </c>
      <c r="I9" s="92">
        <f t="shared" si="2"/>
        <v>-3649.0678791391829</v>
      </c>
      <c r="J9" s="93">
        <f t="shared" si="3"/>
        <v>-303.20438917577485</v>
      </c>
      <c r="K9" s="88">
        <f t="shared" si="4"/>
        <v>-3345.863489963408</v>
      </c>
      <c r="L9" s="79"/>
      <c r="M9" s="94">
        <f>+'1ReporteImpactoYRendvs Presup'!L10-'1ReporteImpactoYRendvs Presup'!P10</f>
        <v>-270957</v>
      </c>
      <c r="N9" s="95">
        <f>+M9/'1ReporteImpactoYRendvs Presup'!P10</f>
        <v>-0.24110784837159638</v>
      </c>
      <c r="O9" s="96">
        <f>+'1ReporteImpactoYRendvs Presup'!N10-'1ReporteImpactoYRendvs Presup'!Q10</f>
        <v>41831.305293148907</v>
      </c>
      <c r="P9" s="97">
        <f>+O9/'1ReporteImpactoYRendvs Presup'!Q10</f>
        <v>0.15813043319716383</v>
      </c>
    </row>
    <row r="10" spans="2:16" x14ac:dyDescent="0.35">
      <c r="B10" s="85" t="s">
        <v>34</v>
      </c>
      <c r="C10" s="86">
        <v>10000</v>
      </c>
      <c r="D10" s="87">
        <f>-'1ReporteImpactoYRendvs Presup'!S11*27000</f>
        <v>-5960.6968643763576</v>
      </c>
      <c r="E10" s="88">
        <f t="shared" si="0"/>
        <v>4039.3031356236424</v>
      </c>
      <c r="F10" s="89">
        <f>+'1ReporteImpactoYRendvs Presup'!H11*27000</f>
        <v>9519.1221043023743</v>
      </c>
      <c r="G10" s="90">
        <f>-'1ReporteImpactoYRendvs Presup'!I11*27000</f>
        <v>-6835.7344075229275</v>
      </c>
      <c r="H10" s="91">
        <f t="shared" si="1"/>
        <v>2683.3876967794467</v>
      </c>
      <c r="I10" s="92">
        <f t="shared" si="2"/>
        <v>-1355.9154388441957</v>
      </c>
      <c r="J10" s="93">
        <f t="shared" si="3"/>
        <v>-480.87789569762572</v>
      </c>
      <c r="K10" s="88">
        <f t="shared" si="4"/>
        <v>-875.03754314656999</v>
      </c>
      <c r="L10" s="79"/>
      <c r="M10" s="94">
        <f>+'1ReporteImpactoYRendvs Presup'!L11-'1ReporteImpactoYRendvs Presup'!P11</f>
        <v>162448</v>
      </c>
      <c r="N10" s="95">
        <f>+M10/'1ReporteImpactoYRendvs Presup'!P11</f>
        <v>7.4319699881050416E-2</v>
      </c>
      <c r="O10" s="96">
        <f>+'1ReporteImpactoYRendvs Presup'!N11-'1ReporteImpactoYRendvs Presup'!Q11</f>
        <v>118802.71384615399</v>
      </c>
      <c r="P10" s="97">
        <f>+O10/'1ReporteImpactoYRendvs Presup'!Q11</f>
        <v>0.24619694977045326</v>
      </c>
    </row>
    <row r="11" spans="2:16" x14ac:dyDescent="0.35">
      <c r="B11" s="85" t="s">
        <v>35</v>
      </c>
      <c r="C11" s="86">
        <v>10000</v>
      </c>
      <c r="D11" s="87">
        <f>-'1ReporteImpactoYRendvs Presup'!S12*27000</f>
        <v>-5866.8923076923074</v>
      </c>
      <c r="E11" s="88">
        <f t="shared" si="0"/>
        <v>4133.1076923076926</v>
      </c>
      <c r="F11" s="89">
        <f>+'1ReporteImpactoYRendvs Presup'!H12*27000</f>
        <v>9559.6914258914476</v>
      </c>
      <c r="G11" s="90">
        <f>-'1ReporteImpactoYRendvs Presup'!I12*27000</f>
        <v>-6533.967813942947</v>
      </c>
      <c r="H11" s="91">
        <f t="shared" si="1"/>
        <v>3025.7236119485005</v>
      </c>
      <c r="I11" s="92">
        <f t="shared" si="2"/>
        <v>-1107.384080359192</v>
      </c>
      <c r="J11" s="93">
        <f t="shared" si="3"/>
        <v>-440.30857410855242</v>
      </c>
      <c r="K11" s="88">
        <f t="shared" si="4"/>
        <v>-667.07550625063959</v>
      </c>
      <c r="L11" s="79"/>
      <c r="M11" s="94">
        <f>+'1ReporteImpactoYRendvs Presup'!L12-'1ReporteImpactoYRendvs Presup'!P12</f>
        <v>347571</v>
      </c>
      <c r="N11" s="95">
        <f>+M11/'1ReporteImpactoYRendvs Presup'!P12</f>
        <v>0.22540272373540857</v>
      </c>
      <c r="O11" s="96">
        <f>+'1ReporteImpactoYRendvs Presup'!N12-'1ReporteImpactoYRendvs Presup'!Q12</f>
        <v>122105.13153846154</v>
      </c>
      <c r="P11" s="97">
        <f>+O11/'1ReporteImpactoYRendvs Presup'!Q12</f>
        <v>0.3644225056301405</v>
      </c>
    </row>
    <row r="12" spans="2:16" x14ac:dyDescent="0.35">
      <c r="B12" s="85" t="s">
        <v>36</v>
      </c>
      <c r="C12" s="86">
        <v>10000</v>
      </c>
      <c r="D12" s="87">
        <f>-'1ReporteImpactoYRendvs Presup'!S13*27000</f>
        <v>-5866.8923076923083</v>
      </c>
      <c r="E12" s="88">
        <f t="shared" si="0"/>
        <v>4133.1076923076917</v>
      </c>
      <c r="F12" s="89">
        <f>+'1ReporteImpactoYRendvs Presup'!H13*27000</f>
        <v>9541.5731046443016</v>
      </c>
      <c r="G12" s="90">
        <f>-'1ReporteImpactoYRendvs Presup'!I13*27000</f>
        <v>-6739.3906464605334</v>
      </c>
      <c r="H12" s="91">
        <f t="shared" si="1"/>
        <v>2802.1824581837682</v>
      </c>
      <c r="I12" s="92">
        <f t="shared" si="2"/>
        <v>-1330.9252341239235</v>
      </c>
      <c r="J12" s="93">
        <f t="shared" si="3"/>
        <v>-458.42689535569843</v>
      </c>
      <c r="K12" s="88">
        <f t="shared" si="4"/>
        <v>-872.49833876822504</v>
      </c>
      <c r="L12" s="79"/>
      <c r="M12" s="94">
        <f>+'1ReporteImpactoYRendvs Presup'!L13-'1ReporteImpactoYRendvs Presup'!P13</f>
        <v>152331</v>
      </c>
      <c r="N12" s="95">
        <f>+M12/'1ReporteImpactoYRendvs Presup'!P13</f>
        <v>0.15031675547661338</v>
      </c>
      <c r="O12" s="96">
        <f>+'1ReporteImpactoYRendvs Presup'!N13-'1ReporteImpactoYRendvs Presup'!Q13</f>
        <v>70388.75538461539</v>
      </c>
      <c r="P12" s="97">
        <f>+O12/'1ReporteImpactoYRendvs Presup'!Q13</f>
        <v>0.31965244734994575</v>
      </c>
    </row>
    <row r="13" spans="2:16" x14ac:dyDescent="0.35">
      <c r="B13" s="85" t="s">
        <v>37</v>
      </c>
      <c r="C13" s="86">
        <v>10000</v>
      </c>
      <c r="D13" s="87">
        <f>-'1ReporteImpactoYRendvs Presup'!S14*27000</f>
        <v>-5866.8923076923083</v>
      </c>
      <c r="E13" s="88">
        <f t="shared" si="0"/>
        <v>4133.1076923076917</v>
      </c>
      <c r="F13" s="89">
        <f>+'1ReporteImpactoYRendvs Presup'!H14*27000</f>
        <v>9833.5348523456832</v>
      </c>
      <c r="G13" s="90">
        <f>-'1ReporteImpactoYRendvs Presup'!I14*27000</f>
        <v>-5802.6609555857513</v>
      </c>
      <c r="H13" s="91">
        <f t="shared" si="1"/>
        <v>4030.873896759932</v>
      </c>
      <c r="I13" s="92">
        <f t="shared" si="2"/>
        <v>-102.23379554775966</v>
      </c>
      <c r="J13" s="93">
        <f t="shared" si="3"/>
        <v>-166.46514765431675</v>
      </c>
      <c r="K13" s="88">
        <f t="shared" si="4"/>
        <v>64.231352106557097</v>
      </c>
      <c r="L13" s="79"/>
      <c r="M13" s="94">
        <f>+'1ReporteImpactoYRendvs Presup'!L14-'1ReporteImpactoYRendvs Presup'!P14</f>
        <v>53172</v>
      </c>
      <c r="N13" s="95">
        <f>+M13/'1ReporteImpactoYRendvs Presup'!P14</f>
        <v>5.457176579257967E-2</v>
      </c>
      <c r="O13" s="96">
        <f>+'1ReporteImpactoYRendvs Presup'!N14-'1ReporteImpactoYRendvs Presup'!Q14</f>
        <v>9120.5899999999965</v>
      </c>
      <c r="P13" s="97">
        <f>+O13/'1ReporteImpactoYRendvs Presup'!Q14</f>
        <v>4.3078799441296542E-2</v>
      </c>
    </row>
    <row r="14" spans="2:16" x14ac:dyDescent="0.35">
      <c r="B14" s="85" t="s">
        <v>38</v>
      </c>
      <c r="C14" s="86">
        <v>10000</v>
      </c>
      <c r="D14" s="87">
        <f>-'1ReporteImpactoYRendvs Presup'!S15*27000</f>
        <v>-5866.8923076923083</v>
      </c>
      <c r="E14" s="88">
        <f t="shared" si="0"/>
        <v>4133.1076923076917</v>
      </c>
      <c r="F14" s="89">
        <f>+'1ReporteImpactoYRendvs Presup'!H15*27000</f>
        <v>7100.715137863991</v>
      </c>
      <c r="G14" s="90">
        <f>-'1ReporteImpactoYRendvs Presup'!I15*27000</f>
        <v>-6142.880204095125</v>
      </c>
      <c r="H14" s="91">
        <f t="shared" si="1"/>
        <v>957.83493376886599</v>
      </c>
      <c r="I14" s="92">
        <f t="shared" si="2"/>
        <v>-3175.2727585388257</v>
      </c>
      <c r="J14" s="93">
        <f t="shared" si="3"/>
        <v>-2899.284862136009</v>
      </c>
      <c r="K14" s="88">
        <f t="shared" si="4"/>
        <v>-275.98789640281666</v>
      </c>
      <c r="L14" s="79"/>
      <c r="M14" s="94">
        <f>+'1ReporteImpactoYRendvs Presup'!L15-'1ReporteImpactoYRendvs Presup'!P15</f>
        <v>598150</v>
      </c>
      <c r="N14" s="95">
        <f>+M14/'1ReporteImpactoYRendvs Presup'!P15</f>
        <v>0.24480733419280906</v>
      </c>
      <c r="O14" s="96">
        <f>+'1ReporteImpactoYRendvs Presup'!N15-'1ReporteImpactoYRendvs Presup'!Q15</f>
        <v>158382.47999999998</v>
      </c>
      <c r="P14" s="97">
        <f>+O14/'1ReporteImpactoYRendvs Presup'!Q15</f>
        <v>0.29831638279401029</v>
      </c>
    </row>
    <row r="15" spans="2:16" x14ac:dyDescent="0.35">
      <c r="B15" s="85" t="s">
        <v>39</v>
      </c>
      <c r="C15" s="86">
        <v>10000</v>
      </c>
      <c r="D15" s="87">
        <f>-'1ReporteImpactoYRendvs Presup'!S16*27000</f>
        <v>-5866.8923076923083</v>
      </c>
      <c r="E15" s="88">
        <f t="shared" si="0"/>
        <v>4133.1076923076917</v>
      </c>
      <c r="F15" s="89">
        <f>+'1ReporteImpactoYRendvs Presup'!H16*27000</f>
        <v>4563.9069263723668</v>
      </c>
      <c r="G15" s="90">
        <f>-'1ReporteImpactoYRendvs Presup'!I16*27000</f>
        <v>-6281.1342893768742</v>
      </c>
      <c r="H15" s="91">
        <f t="shared" si="1"/>
        <v>-1717.2273630045074</v>
      </c>
      <c r="I15" s="92">
        <f t="shared" si="2"/>
        <v>-5850.3350553121991</v>
      </c>
      <c r="J15" s="93">
        <f t="shared" si="3"/>
        <v>-5436.0930736276332</v>
      </c>
      <c r="K15" s="88">
        <f t="shared" si="4"/>
        <v>-414.24198168456587</v>
      </c>
      <c r="L15" s="79"/>
      <c r="M15" s="94">
        <f>+'1ReporteImpactoYRendvs Presup'!L16-'1ReporteImpactoYRendvs Presup'!P16</f>
        <v>327330</v>
      </c>
      <c r="N15" s="95">
        <f>+M15/'1ReporteImpactoYRendvs Presup'!P16</f>
        <v>0.18783461968840559</v>
      </c>
      <c r="O15" s="96">
        <f>+'1ReporteImpactoYRendvs Presup'!N16-'1ReporteImpactoYRendvs Presup'!Q16</f>
        <v>102186.59999999998</v>
      </c>
      <c r="P15" s="97">
        <f>+O15/'1ReporteImpactoYRendvs Presup'!Q16</f>
        <v>0.26986056572938294</v>
      </c>
    </row>
    <row r="16" spans="2:16" x14ac:dyDescent="0.35">
      <c r="B16" s="85" t="s">
        <v>40</v>
      </c>
      <c r="C16" s="86">
        <v>10000</v>
      </c>
      <c r="D16" s="87">
        <f>-'1ReporteImpactoYRendvs Presup'!S17*27000</f>
        <v>-5866.8923076923074</v>
      </c>
      <c r="E16" s="88">
        <f t="shared" si="0"/>
        <v>4133.1076923076926</v>
      </c>
      <c r="F16" s="89">
        <f>+'1ReporteImpactoYRendvs Presup'!H17*27000</f>
        <v>4129.2195075343861</v>
      </c>
      <c r="G16" s="90">
        <f>-'1ReporteImpactoYRendvs Presup'!I17*27000</f>
        <v>-7444.1127316955426</v>
      </c>
      <c r="H16" s="91">
        <f t="shared" si="1"/>
        <v>-3314.8932241611565</v>
      </c>
      <c r="I16" s="92">
        <f t="shared" si="2"/>
        <v>-7448.000916468849</v>
      </c>
      <c r="J16" s="93">
        <f t="shared" si="3"/>
        <v>-5870.7804924656139</v>
      </c>
      <c r="K16" s="88">
        <f t="shared" si="4"/>
        <v>-1577.2204240032352</v>
      </c>
      <c r="L16" s="79"/>
      <c r="M16" s="94">
        <f>+'1ReporteImpactoYRendvs Presup'!L17-'1ReporteImpactoYRendvs Presup'!P17</f>
        <v>42190</v>
      </c>
      <c r="N16" s="95">
        <f>+M16/'1ReporteImpactoYRendvs Presup'!P17</f>
        <v>2.4419748798981306E-2</v>
      </c>
      <c r="O16" s="96">
        <f>+'1ReporteImpactoYRendvs Presup'!N17-'1ReporteImpactoYRendvs Presup'!Q17</f>
        <v>104203.73999999999</v>
      </c>
      <c r="P16" s="97">
        <f>+O16/'1ReporteImpactoYRendvs Presup'!Q17</f>
        <v>0.27756878291149717</v>
      </c>
    </row>
    <row r="17" spans="2:16" x14ac:dyDescent="0.35">
      <c r="B17" s="101" t="s">
        <v>41</v>
      </c>
      <c r="C17" s="102">
        <v>10000</v>
      </c>
      <c r="D17" s="103">
        <f>-'1ReporteImpactoYRendvs Presup'!S18*27000</f>
        <v>-5866.8923076923083</v>
      </c>
      <c r="E17" s="104">
        <f t="shared" si="0"/>
        <v>4133.1076923076917</v>
      </c>
      <c r="F17" s="105">
        <f>+'1ReporteImpactoYRendvs Presup'!H18*27000</f>
        <v>3505.4888923466438</v>
      </c>
      <c r="G17" s="106">
        <f>-'1ReporteImpactoYRendvs Presup'!I18*27000</f>
        <v>-8569.9384894145751</v>
      </c>
      <c r="H17" s="107">
        <f t="shared" si="1"/>
        <v>-5064.4495970679309</v>
      </c>
      <c r="I17" s="92">
        <f t="shared" si="2"/>
        <v>-9197.5572893756216</v>
      </c>
      <c r="J17" s="93">
        <f t="shared" si="3"/>
        <v>-6494.5111076533558</v>
      </c>
      <c r="K17" s="88">
        <f t="shared" si="4"/>
        <v>-2703.0461817222667</v>
      </c>
      <c r="L17" s="79"/>
      <c r="M17" s="94">
        <f>+'1ReporteImpactoYRendvs Presup'!L18-'1ReporteImpactoYRendvs Presup'!P18</f>
        <v>-768544</v>
      </c>
      <c r="N17" s="95">
        <f>+M17/'1ReporteImpactoYRendvs Presup'!P18</f>
        <v>-0.63127356359604092</v>
      </c>
      <c r="O17" s="96">
        <f>+'1ReporteImpactoYRendvs Presup'!N18-'1ReporteImpactoYRendvs Presup'!Q18</f>
        <v>-97214.47000000003</v>
      </c>
      <c r="P17" s="97">
        <f>+O17/'1ReporteImpactoYRendvs Presup'!Q18</f>
        <v>-0.36748145439908875</v>
      </c>
    </row>
    <row r="18" spans="2:16" x14ac:dyDescent="0.35">
      <c r="B18" s="108" t="s">
        <v>42</v>
      </c>
      <c r="C18" s="86">
        <v>10000</v>
      </c>
      <c r="D18" s="87">
        <f>-'1ReporteImpactoYRendvs Presup'!S19*27000</f>
        <v>-7079.6992481203006</v>
      </c>
      <c r="E18" s="88">
        <f t="shared" si="0"/>
        <v>2920.3007518796994</v>
      </c>
      <c r="F18" s="89">
        <f>+'1ReporteImpactoYRendvs Presup'!H19*27000</f>
        <v>11528.712948738716</v>
      </c>
      <c r="G18" s="90">
        <f>-'1ReporteImpactoYRendvs Presup'!I19*27000</f>
        <v>-8093.8203230011086</v>
      </c>
      <c r="H18" s="91">
        <f t="shared" si="1"/>
        <v>3434.892625737607</v>
      </c>
      <c r="I18" s="92">
        <f t="shared" si="2"/>
        <v>514.59187385790756</v>
      </c>
      <c r="J18" s="93">
        <f t="shared" si="3"/>
        <v>1528.7129487387156</v>
      </c>
      <c r="K18" s="88">
        <f t="shared" si="4"/>
        <v>-1014.121074880808</v>
      </c>
      <c r="L18" s="79"/>
      <c r="M18" s="94">
        <f>+'1ReporteImpactoYRendvs Presup'!L19-'1ReporteImpactoYRendvs Presup'!P19</f>
        <v>-105412</v>
      </c>
      <c r="N18" s="95">
        <f>+M18/'1ReporteImpactoYRendvs Presup'!P19</f>
        <v>-4.8924162257495588E-2</v>
      </c>
      <c r="O18" s="96">
        <f>+'1ReporteImpactoYRendvs Presup'!N19-'1ReporteImpactoYRendvs Presup'!Q19</f>
        <v>49327.380000000005</v>
      </c>
      <c r="P18" s="97">
        <f>+O18/'1ReporteImpactoYRendvs Presup'!Q19</f>
        <v>8.731127867459644E-2</v>
      </c>
    </row>
    <row r="19" spans="2:16" x14ac:dyDescent="0.35">
      <c r="B19" s="85" t="s">
        <v>43</v>
      </c>
      <c r="C19" s="86">
        <v>10000</v>
      </c>
      <c r="D19" s="87">
        <f>-'1ReporteImpactoYRendvs Presup'!S20*27000</f>
        <v>-5866.8923076923074</v>
      </c>
      <c r="E19" s="88">
        <f t="shared" si="0"/>
        <v>4133.1076923076926</v>
      </c>
      <c r="F19" s="89">
        <f>+'1ReporteImpactoYRendvs Presup'!H20*27000</f>
        <v>4211.594423578179</v>
      </c>
      <c r="G19" s="90">
        <f>-'1ReporteImpactoYRendvs Presup'!I20*27000</f>
        <v>-5113.1374761156867</v>
      </c>
      <c r="H19" s="91">
        <f t="shared" si="1"/>
        <v>-901.54305253750772</v>
      </c>
      <c r="I19" s="92">
        <f t="shared" si="2"/>
        <v>-5034.6507448452003</v>
      </c>
      <c r="J19" s="93">
        <f t="shared" si="3"/>
        <v>-5788.405576421821</v>
      </c>
      <c r="K19" s="88">
        <f t="shared" si="4"/>
        <v>753.75483157662075</v>
      </c>
      <c r="L19" s="79"/>
      <c r="M19" s="94">
        <f>+'1ReporteImpactoYRendvs Presup'!L20-'1ReporteImpactoYRendvs Presup'!P20</f>
        <v>-2413</v>
      </c>
      <c r="N19" s="95">
        <f>+M19/'1ReporteImpactoYRendvs Presup'!P20</f>
        <v>-1.4444777012870397E-3</v>
      </c>
      <c r="O19" s="96">
        <f>+'1ReporteImpactoYRendvs Presup'!N20-'1ReporteImpactoYRendvs Presup'!Q20</f>
        <v>-42363.260000000009</v>
      </c>
      <c r="P19" s="97">
        <f>+O19/'1ReporteImpactoYRendvs Presup'!Q20</f>
        <v>-0.1167074394991774</v>
      </c>
    </row>
    <row r="20" spans="2:16" x14ac:dyDescent="0.35">
      <c r="B20" s="85" t="s">
        <v>44</v>
      </c>
      <c r="C20" s="86">
        <v>10000</v>
      </c>
      <c r="D20" s="87">
        <f>-'1ReporteImpactoYRendvs Presup'!S21*27000</f>
        <v>-5866.8923076923074</v>
      </c>
      <c r="E20" s="88">
        <f t="shared" si="0"/>
        <v>4133.1076923076926</v>
      </c>
      <c r="F20" s="89">
        <f>+'1ReporteImpactoYRendvs Presup'!H21*27000</f>
        <v>4139.3224840222438</v>
      </c>
      <c r="G20" s="90">
        <f>-'1ReporteImpactoYRendvs Presup'!I21*27000</f>
        <v>-7013.2591929317678</v>
      </c>
      <c r="H20" s="91">
        <f t="shared" si="1"/>
        <v>-2873.936708909524</v>
      </c>
      <c r="I20" s="92">
        <f t="shared" si="2"/>
        <v>-7007.0444012172165</v>
      </c>
      <c r="J20" s="93">
        <f t="shared" si="3"/>
        <v>-5860.6775159777562</v>
      </c>
      <c r="K20" s="88">
        <f t="shared" si="4"/>
        <v>-1146.3668852394603</v>
      </c>
      <c r="L20" s="79"/>
      <c r="M20" s="94">
        <f>+'1ReporteImpactoYRendvs Presup'!L21-'1ReporteImpactoYRendvs Presup'!P21</f>
        <v>-430156</v>
      </c>
      <c r="N20" s="95">
        <f>+M20/'1ReporteImpactoYRendvs Presup'!P21</f>
        <v>-0.28414704230934373</v>
      </c>
      <c r="O20" s="96">
        <f>+'1ReporteImpactoYRendvs Presup'!N21-'1ReporteImpactoYRendvs Presup'!Q21</f>
        <v>-47458.239999999991</v>
      </c>
      <c r="P20" s="97">
        <f>+O20/'1ReporteImpactoYRendvs Presup'!Q21</f>
        <v>-0.1442727901398142</v>
      </c>
    </row>
    <row r="21" spans="2:16" x14ac:dyDescent="0.35">
      <c r="B21" s="110" t="s">
        <v>45</v>
      </c>
      <c r="C21" s="102">
        <v>10000</v>
      </c>
      <c r="D21" s="103">
        <f>-'1ReporteImpactoYRendvs Presup'!S22*27000</f>
        <v>-5866.8923076923083</v>
      </c>
      <c r="E21" s="104">
        <f t="shared" si="0"/>
        <v>4133.1076923076917</v>
      </c>
      <c r="F21" s="105">
        <f>+'1ReporteImpactoYRendvs Presup'!H22*27000</f>
        <v>4297.704011885</v>
      </c>
      <c r="G21" s="106">
        <f>-'1ReporteImpactoYRendvs Presup'!I22*27000</f>
        <v>-6046.886431988567</v>
      </c>
      <c r="H21" s="107">
        <f t="shared" si="1"/>
        <v>-1749.182420103567</v>
      </c>
      <c r="I21" s="92">
        <f t="shared" si="2"/>
        <v>-5882.2901124112586</v>
      </c>
      <c r="J21" s="93">
        <f t="shared" si="3"/>
        <v>-5702.295988115</v>
      </c>
      <c r="K21" s="88">
        <f t="shared" si="4"/>
        <v>-179.99412429625863</v>
      </c>
      <c r="L21" s="79"/>
      <c r="M21" s="94">
        <f>+'1ReporteImpactoYRendvs Presup'!L22-'1ReporteImpactoYRendvs Presup'!P22</f>
        <v>-983882</v>
      </c>
      <c r="N21" s="95">
        <f>+M21/'1ReporteImpactoYRendvs Presup'!P22</f>
        <v>-0.41549948267488757</v>
      </c>
      <c r="O21" s="96">
        <f>+'1ReporteImpactoYRendvs Presup'!N22-'1ReporteImpactoYRendvs Presup'!Q22</f>
        <v>-208355.63</v>
      </c>
      <c r="P21" s="97">
        <f>+O21/'1ReporteImpactoYRendvs Presup'!Q22</f>
        <v>-0.40493783813387918</v>
      </c>
    </row>
    <row r="22" spans="2:16" ht="15" thickBot="1" x14ac:dyDescent="0.4">
      <c r="B22" s="111" t="s">
        <v>46</v>
      </c>
      <c r="C22" s="112">
        <v>10000</v>
      </c>
      <c r="D22" s="113">
        <f>-'1ReporteImpactoYRendvs Presup'!S23*27000</f>
        <v>-6106.470910577309</v>
      </c>
      <c r="E22" s="114">
        <f t="shared" si="0"/>
        <v>3893.529089422691</v>
      </c>
      <c r="F22" s="115">
        <f>+'1ReporteImpactoYRendvs Presup'!H23*27000</f>
        <v>7746.6785668078064</v>
      </c>
      <c r="G22" s="116">
        <f>-'1ReporteImpactoYRendvs Presup'!I23*27000</f>
        <v>-7634.0254300462884</v>
      </c>
      <c r="H22" s="117">
        <f t="shared" si="1"/>
        <v>112.653136761518</v>
      </c>
      <c r="I22" s="118">
        <f t="shared" si="2"/>
        <v>-3780.875952661173</v>
      </c>
      <c r="J22" s="119">
        <f t="shared" si="3"/>
        <v>-2253.3214331921936</v>
      </c>
      <c r="K22" s="114">
        <f t="shared" si="4"/>
        <v>-1527.5545194689794</v>
      </c>
      <c r="L22" s="79"/>
      <c r="M22" s="120">
        <f>+'1ReporteImpactoYRendvs Presup'!L23-'1ReporteImpactoYRendvs Presup'!P23</f>
        <v>-2347608</v>
      </c>
      <c r="N22" s="121">
        <f>+M22/'1ReporteImpactoYRendvs Presup'!P23</f>
        <v>-8.0937487071283773E-2</v>
      </c>
      <c r="O22" s="122">
        <f>+'1ReporteImpactoYRendvs Presup'!N23-'1ReporteImpactoYRendvs Presup'!Q23</f>
        <v>1004544.0997971492</v>
      </c>
      <c r="P22" s="123">
        <f>+O22/'1ReporteImpactoYRendvs Presup'!Q23</f>
        <v>0.15313223257703781</v>
      </c>
    </row>
    <row r="23" spans="2:16" x14ac:dyDescent="0.35">
      <c r="H23" s="91">
        <f>+H22*'1ReporteImpactoYRendvs Presup'!J25</f>
        <v>111224.49471513882</v>
      </c>
      <c r="I23" s="125">
        <f>+I22/C22</f>
        <v>-0.37808759526611729</v>
      </c>
      <c r="J23" s="125">
        <f>+J22/C22</f>
        <v>-0.22533214331921936</v>
      </c>
      <c r="K23" s="59">
        <f>+K22/E22</f>
        <v>-0.39233160569386577</v>
      </c>
      <c r="M23" s="79"/>
      <c r="O23" s="79"/>
    </row>
    <row r="24" spans="2:16" x14ac:dyDescent="0.35">
      <c r="K24" s="1"/>
      <c r="M24" s="79"/>
      <c r="O24" s="79"/>
      <c r="P24" s="79"/>
    </row>
  </sheetData>
  <mergeCells count="6">
    <mergeCell ref="B2:K2"/>
    <mergeCell ref="C3:E3"/>
    <mergeCell ref="F3:H3"/>
    <mergeCell ref="I3:K3"/>
    <mergeCell ref="M3:P3"/>
    <mergeCell ref="M2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FF0FE-2935-44C9-B766-5ECDB8913070}">
  <dimension ref="B2:W75"/>
  <sheetViews>
    <sheetView zoomScale="60" zoomScaleNormal="60" workbookViewId="0">
      <selection activeCell="B3" sqref="B3:I3"/>
    </sheetView>
  </sheetViews>
  <sheetFormatPr baseColWidth="10" defaultRowHeight="12.5" x14ac:dyDescent="0.25"/>
  <cols>
    <col min="1" max="1" width="10.90625" style="127"/>
    <col min="2" max="2" width="20.7265625" style="127" customWidth="1"/>
    <col min="3" max="3" width="8.6328125" style="127" customWidth="1"/>
    <col min="4" max="4" width="12.81640625" style="127" customWidth="1"/>
    <col min="5" max="5" width="10.7265625" style="127" customWidth="1"/>
    <col min="6" max="6" width="13.1796875" style="127" customWidth="1"/>
    <col min="7" max="7" width="10.453125" style="127" customWidth="1"/>
    <col min="8" max="8" width="11.26953125" style="127" customWidth="1"/>
    <col min="9" max="9" width="10.90625" style="127" customWidth="1"/>
    <col min="10" max="10" width="11" style="127" customWidth="1"/>
    <col min="11" max="15" width="10.90625" style="127"/>
    <col min="16" max="16" width="10.90625" style="128"/>
    <col min="17" max="17" width="12.81640625" style="127" bestFit="1" customWidth="1"/>
    <col min="18" max="19" width="10.90625" style="127"/>
    <col min="20" max="20" width="11.36328125" style="127" bestFit="1" customWidth="1"/>
    <col min="21" max="16384" width="10.90625" style="127"/>
  </cols>
  <sheetData>
    <row r="2" spans="2:23" ht="13.5" thickBot="1" x14ac:dyDescent="0.35">
      <c r="B2" s="203" t="s">
        <v>65</v>
      </c>
    </row>
    <row r="3" spans="2:23" ht="14.5" customHeight="1" x14ac:dyDescent="0.3">
      <c r="B3" s="204" t="s">
        <v>66</v>
      </c>
      <c r="C3" s="205"/>
      <c r="D3" s="205"/>
      <c r="E3" s="205"/>
      <c r="F3" s="205"/>
      <c r="G3" s="205"/>
      <c r="H3" s="205"/>
      <c r="I3" s="206"/>
    </row>
    <row r="4" spans="2:23" ht="49" customHeight="1" x14ac:dyDescent="0.25">
      <c r="B4" s="131"/>
      <c r="C4" s="132" t="s">
        <v>67</v>
      </c>
      <c r="D4" s="132" t="s">
        <v>68</v>
      </c>
      <c r="E4" s="133" t="s">
        <v>69</v>
      </c>
      <c r="F4" s="132" t="s">
        <v>70</v>
      </c>
      <c r="G4" s="132" t="s">
        <v>49</v>
      </c>
      <c r="H4" s="134" t="s">
        <v>71</v>
      </c>
      <c r="I4" s="135"/>
      <c r="P4" s="127"/>
      <c r="S4" s="128"/>
    </row>
    <row r="5" spans="2:23" x14ac:dyDescent="0.25">
      <c r="B5" s="131"/>
      <c r="F5" s="132" t="s">
        <v>72</v>
      </c>
      <c r="G5" s="132" t="s">
        <v>72</v>
      </c>
      <c r="H5" s="132" t="s">
        <v>72</v>
      </c>
      <c r="I5" s="135"/>
      <c r="P5" s="127"/>
      <c r="S5" s="128"/>
    </row>
    <row r="6" spans="2:23" x14ac:dyDescent="0.25">
      <c r="B6" s="131"/>
      <c r="F6" s="132"/>
      <c r="G6" s="132"/>
      <c r="H6" s="132"/>
      <c r="I6" s="135"/>
      <c r="P6" s="127"/>
      <c r="S6" s="128"/>
    </row>
    <row r="7" spans="2:23" x14ac:dyDescent="0.25">
      <c r="B7" s="136" t="s">
        <v>73</v>
      </c>
      <c r="C7" s="137"/>
      <c r="D7" s="137"/>
      <c r="E7" s="137"/>
      <c r="F7" s="138">
        <v>782017.40191931068</v>
      </c>
      <c r="G7" s="138">
        <v>864919.52999999991</v>
      </c>
      <c r="H7" s="138">
        <f>+G7-F7</f>
        <v>82902.128080689232</v>
      </c>
      <c r="I7" s="135"/>
      <c r="P7" s="127"/>
      <c r="S7" s="128"/>
      <c r="W7" s="128"/>
    </row>
    <row r="8" spans="2:23" x14ac:dyDescent="0.25">
      <c r="B8" s="136" t="s">
        <v>74</v>
      </c>
      <c r="C8" s="137">
        <v>470</v>
      </c>
      <c r="D8" s="138">
        <f>61713</f>
        <v>61713</v>
      </c>
      <c r="E8" s="139">
        <f>+D8/27000</f>
        <v>2.2856666666666667</v>
      </c>
      <c r="F8" s="138">
        <v>5280236.6979729729</v>
      </c>
      <c r="G8" s="138">
        <f>6040120.01-G7</f>
        <v>5175200.4799999995</v>
      </c>
      <c r="H8" s="138">
        <f t="shared" ref="H8:H9" si="0">+G8-F8</f>
        <v>-105036.21797297336</v>
      </c>
      <c r="I8" s="135"/>
      <c r="P8" s="127"/>
      <c r="S8" s="128"/>
      <c r="W8" s="128"/>
    </row>
    <row r="9" spans="2:23" x14ac:dyDescent="0.25">
      <c r="B9" s="136" t="s">
        <v>75</v>
      </c>
      <c r="C9" s="137"/>
      <c r="D9" s="138"/>
      <c r="E9" s="137"/>
      <c r="F9" s="138">
        <v>497724.22702702699</v>
      </c>
      <c r="G9" s="138">
        <v>1524402</v>
      </c>
      <c r="H9" s="138">
        <f t="shared" si="0"/>
        <v>1026677.7729729731</v>
      </c>
      <c r="I9" s="135"/>
      <c r="P9" s="127"/>
      <c r="S9" s="128"/>
      <c r="T9" s="140"/>
      <c r="W9" s="128"/>
    </row>
    <row r="10" spans="2:23" x14ac:dyDescent="0.25">
      <c r="B10" s="136" t="s">
        <v>76</v>
      </c>
      <c r="C10" s="137"/>
      <c r="D10" s="137"/>
      <c r="E10" s="137"/>
      <c r="F10" s="141">
        <f>SUM(F7:F9)</f>
        <v>6559978.3269193107</v>
      </c>
      <c r="G10" s="142">
        <f>SUM(G7:G9)</f>
        <v>7564522.0099999998</v>
      </c>
      <c r="H10" s="141">
        <f>SUM(H7:H9)</f>
        <v>1004543.6830806889</v>
      </c>
      <c r="I10" s="135"/>
      <c r="M10" s="141"/>
      <c r="N10" s="141"/>
      <c r="O10" s="141"/>
      <c r="P10" s="141"/>
      <c r="Q10" s="141"/>
      <c r="R10" s="141"/>
      <c r="S10" s="128"/>
      <c r="W10" s="128"/>
    </row>
    <row r="11" spans="2:23" ht="13" thickBot="1" x14ac:dyDescent="0.3">
      <c r="B11" s="143"/>
      <c r="C11" s="144"/>
      <c r="D11" s="144"/>
      <c r="E11" s="144"/>
      <c r="F11" s="145"/>
      <c r="G11" s="145"/>
      <c r="H11" s="144"/>
      <c r="I11" s="146"/>
      <c r="P11" s="127"/>
      <c r="S11" s="128"/>
    </row>
    <row r="12" spans="2:23" ht="3" customHeight="1" thickBot="1" x14ac:dyDescent="0.3">
      <c r="P12" s="127"/>
    </row>
    <row r="13" spans="2:23" ht="15" customHeight="1" thickBot="1" x14ac:dyDescent="0.35">
      <c r="B13" s="200" t="s">
        <v>77</v>
      </c>
      <c r="C13" s="201"/>
      <c r="D13" s="201"/>
      <c r="E13" s="201"/>
      <c r="F13" s="201"/>
      <c r="G13" s="201"/>
      <c r="H13" s="201"/>
      <c r="I13" s="201"/>
      <c r="J13" s="201"/>
      <c r="K13" s="201"/>
      <c r="L13" s="201"/>
      <c r="M13" s="201"/>
      <c r="N13" s="201"/>
      <c r="O13" s="201"/>
      <c r="P13" s="201"/>
      <c r="Q13" s="201"/>
      <c r="R13" s="202"/>
    </row>
    <row r="14" spans="2:23" ht="15" customHeight="1" thickBot="1" x14ac:dyDescent="0.3">
      <c r="B14" s="195" t="s">
        <v>78</v>
      </c>
      <c r="C14" s="197" t="s">
        <v>79</v>
      </c>
      <c r="D14" s="198"/>
      <c r="E14" s="198"/>
      <c r="F14" s="199"/>
      <c r="G14" s="197" t="s">
        <v>49</v>
      </c>
      <c r="H14" s="198"/>
      <c r="I14" s="198"/>
      <c r="J14" s="199"/>
      <c r="K14" s="197" t="s">
        <v>80</v>
      </c>
      <c r="L14" s="198"/>
      <c r="M14" s="198"/>
      <c r="N14" s="198"/>
      <c r="O14" s="197" t="s">
        <v>81</v>
      </c>
      <c r="P14" s="198"/>
      <c r="Q14" s="198"/>
      <c r="R14" s="199"/>
    </row>
    <row r="15" spans="2:23" ht="37.5" x14ac:dyDescent="0.25">
      <c r="B15" s="196"/>
      <c r="C15" s="147" t="s">
        <v>73</v>
      </c>
      <c r="D15" s="148" t="s">
        <v>82</v>
      </c>
      <c r="E15" s="148" t="s">
        <v>75</v>
      </c>
      <c r="F15" s="148" t="s">
        <v>83</v>
      </c>
      <c r="G15" s="147" t="s">
        <v>73</v>
      </c>
      <c r="H15" s="148" t="s">
        <v>82</v>
      </c>
      <c r="I15" s="148" t="s">
        <v>75</v>
      </c>
      <c r="J15" s="148" t="s">
        <v>84</v>
      </c>
      <c r="K15" s="147" t="s">
        <v>73</v>
      </c>
      <c r="L15" s="148" t="s">
        <v>82</v>
      </c>
      <c r="M15" s="148" t="s">
        <v>75</v>
      </c>
      <c r="N15" s="149" t="s">
        <v>84</v>
      </c>
      <c r="O15" s="150" t="s">
        <v>73</v>
      </c>
      <c r="P15" s="148" t="s">
        <v>82</v>
      </c>
      <c r="Q15" s="148" t="s">
        <v>75</v>
      </c>
      <c r="R15" s="151" t="s">
        <v>84</v>
      </c>
    </row>
    <row r="16" spans="2:23" x14ac:dyDescent="0.25">
      <c r="B16" s="152" t="s">
        <v>85</v>
      </c>
      <c r="C16" s="153">
        <v>546013.15000000014</v>
      </c>
      <c r="D16" s="154"/>
      <c r="F16" s="153">
        <v>546013.15000000014</v>
      </c>
      <c r="G16" s="153">
        <v>502619.58999999997</v>
      </c>
      <c r="H16" s="153"/>
      <c r="I16" s="153"/>
      <c r="J16" s="155">
        <f>SUM(G16:I16)</f>
        <v>502619.58999999997</v>
      </c>
      <c r="K16" s="155">
        <f>+G16-C16</f>
        <v>-43393.560000000172</v>
      </c>
      <c r="L16" s="155">
        <f t="shared" ref="L16:M31" si="1">+H16-D16</f>
        <v>0</v>
      </c>
      <c r="M16" s="155">
        <f t="shared" si="1"/>
        <v>0</v>
      </c>
      <c r="N16" s="155">
        <f>SUM(K16:M16)</f>
        <v>-43393.560000000172</v>
      </c>
      <c r="O16" s="156">
        <f>IFERROR(+K16/C16,0)</f>
        <v>-7.9473470556524442E-2</v>
      </c>
      <c r="P16" s="157">
        <f t="shared" ref="P16:R31" si="2">IFERROR(+L16/D16,0)</f>
        <v>0</v>
      </c>
      <c r="Q16" s="157">
        <f t="shared" si="2"/>
        <v>0</v>
      </c>
      <c r="R16" s="158">
        <f>IFERROR(+N16/F16,0)</f>
        <v>-7.9473470556524442E-2</v>
      </c>
    </row>
    <row r="17" spans="2:18" x14ac:dyDescent="0.25">
      <c r="B17" s="152" t="s">
        <v>86</v>
      </c>
      <c r="D17" s="154">
        <v>752284</v>
      </c>
      <c r="F17" s="153">
        <v>752284</v>
      </c>
      <c r="G17" s="153">
        <v>67996.851999999999</v>
      </c>
      <c r="H17" s="153">
        <v>611971.66800000006</v>
      </c>
      <c r="I17" s="153"/>
      <c r="J17" s="155">
        <f t="shared" ref="J17:J35" si="3">SUM(G17:I17)</f>
        <v>679968.52</v>
      </c>
      <c r="K17" s="155">
        <f t="shared" ref="K17:M35" si="4">+G17-C17</f>
        <v>67996.851999999999</v>
      </c>
      <c r="L17" s="155">
        <f t="shared" si="1"/>
        <v>-140312.33199999994</v>
      </c>
      <c r="M17" s="155">
        <f t="shared" si="1"/>
        <v>0</v>
      </c>
      <c r="N17" s="155">
        <f t="shared" ref="N17:N35" si="5">SUM(K17:M17)</f>
        <v>-72315.479999999938</v>
      </c>
      <c r="O17" s="156">
        <f t="shared" ref="O17:R36" si="6">IFERROR(+K17/C17,0)</f>
        <v>0</v>
      </c>
      <c r="P17" s="157">
        <f t="shared" si="2"/>
        <v>-0.18651510865577353</v>
      </c>
      <c r="Q17" s="157">
        <f t="shared" si="2"/>
        <v>0</v>
      </c>
      <c r="R17" s="158">
        <f t="shared" si="2"/>
        <v>-9.6127898506415052E-2</v>
      </c>
    </row>
    <row r="18" spans="2:18" x14ac:dyDescent="0.25">
      <c r="B18" s="152" t="s">
        <v>87</v>
      </c>
      <c r="D18" s="154">
        <v>218817</v>
      </c>
      <c r="F18" s="153">
        <v>218817</v>
      </c>
      <c r="G18" s="153">
        <v>16222.067999999999</v>
      </c>
      <c r="H18" s="153">
        <v>145998.61199999999</v>
      </c>
      <c r="I18" s="153"/>
      <c r="J18" s="155">
        <f t="shared" si="3"/>
        <v>162220.68</v>
      </c>
      <c r="K18" s="155">
        <f t="shared" si="4"/>
        <v>16222.067999999999</v>
      </c>
      <c r="L18" s="155">
        <f t="shared" si="1"/>
        <v>-72818.388000000006</v>
      </c>
      <c r="M18" s="155">
        <f t="shared" si="1"/>
        <v>0</v>
      </c>
      <c r="N18" s="155">
        <f t="shared" si="5"/>
        <v>-56596.320000000007</v>
      </c>
      <c r="O18" s="156">
        <f t="shared" si="6"/>
        <v>0</v>
      </c>
      <c r="P18" s="157">
        <f t="shared" si="2"/>
        <v>-0.33278213301525933</v>
      </c>
      <c r="Q18" s="157">
        <f t="shared" si="2"/>
        <v>0</v>
      </c>
      <c r="R18" s="158">
        <f t="shared" si="2"/>
        <v>-0.25864681446139931</v>
      </c>
    </row>
    <row r="19" spans="2:18" x14ac:dyDescent="0.25">
      <c r="B19" s="152" t="s">
        <v>88</v>
      </c>
      <c r="C19" s="153">
        <v>42675.2839796318</v>
      </c>
      <c r="D19" s="154">
        <v>576760.81081081077</v>
      </c>
      <c r="F19" s="153">
        <v>619436.09479044261</v>
      </c>
      <c r="G19" s="153">
        <v>5000</v>
      </c>
      <c r="H19" s="153">
        <v>390908.15100000001</v>
      </c>
      <c r="I19" s="153"/>
      <c r="J19" s="155">
        <f t="shared" si="3"/>
        <v>395908.15100000001</v>
      </c>
      <c r="K19" s="155">
        <f t="shared" si="4"/>
        <v>-37675.2839796318</v>
      </c>
      <c r="L19" s="155">
        <f t="shared" si="1"/>
        <v>-185852.65981081076</v>
      </c>
      <c r="M19" s="155">
        <f t="shared" si="1"/>
        <v>0</v>
      </c>
      <c r="N19" s="155">
        <f t="shared" si="5"/>
        <v>-223527.94379044254</v>
      </c>
      <c r="O19" s="156">
        <f t="shared" si="6"/>
        <v>-0.88283616337769621</v>
      </c>
      <c r="P19" s="157">
        <f t="shared" si="2"/>
        <v>-0.32223524262950348</v>
      </c>
      <c r="Q19" s="157">
        <f t="shared" si="2"/>
        <v>0</v>
      </c>
      <c r="R19" s="158">
        <f t="shared" si="2"/>
        <v>-0.36085715002782137</v>
      </c>
    </row>
    <row r="20" spans="2:18" x14ac:dyDescent="0.25">
      <c r="B20" s="152" t="s">
        <v>89</v>
      </c>
      <c r="C20" s="153">
        <v>36268.115942028977</v>
      </c>
      <c r="D20" s="154">
        <v>455057.83783783781</v>
      </c>
      <c r="F20" s="153">
        <v>491325.9537798668</v>
      </c>
      <c r="G20" s="153">
        <v>20000</v>
      </c>
      <c r="H20" s="153">
        <v>353383.00200000004</v>
      </c>
      <c r="I20" s="153"/>
      <c r="J20" s="155">
        <f t="shared" si="3"/>
        <v>373383.00200000004</v>
      </c>
      <c r="K20" s="155">
        <f t="shared" si="4"/>
        <v>-16268.115942028977</v>
      </c>
      <c r="L20" s="155">
        <f t="shared" si="1"/>
        <v>-101674.83583783777</v>
      </c>
      <c r="M20" s="155">
        <f t="shared" si="1"/>
        <v>0</v>
      </c>
      <c r="N20" s="155">
        <f t="shared" si="5"/>
        <v>-117942.95177986675</v>
      </c>
      <c r="O20" s="156">
        <f t="shared" si="6"/>
        <v>-0.44855144855144841</v>
      </c>
      <c r="P20" s="157">
        <f t="shared" si="2"/>
        <v>-0.22343277575645257</v>
      </c>
      <c r="Q20" s="157">
        <f t="shared" si="2"/>
        <v>0</v>
      </c>
      <c r="R20" s="158">
        <f t="shared" si="2"/>
        <v>-0.24005031867848323</v>
      </c>
    </row>
    <row r="21" spans="2:18" x14ac:dyDescent="0.25">
      <c r="B21" s="152" t="s">
        <v>90</v>
      </c>
      <c r="C21" s="153">
        <v>13989.355268311789</v>
      </c>
      <c r="D21" s="154">
        <v>314257.90000000002</v>
      </c>
      <c r="F21" s="153">
        <v>328247.25526831183</v>
      </c>
      <c r="G21" s="153">
        <v>28716.352000000003</v>
      </c>
      <c r="H21" s="153">
        <v>258447.16800000001</v>
      </c>
      <c r="I21" s="153"/>
      <c r="J21" s="155">
        <f t="shared" si="3"/>
        <v>287163.52000000002</v>
      </c>
      <c r="K21" s="155">
        <f t="shared" si="4"/>
        <v>14726.996731688214</v>
      </c>
      <c r="L21" s="155">
        <f t="shared" si="1"/>
        <v>-55810.732000000018</v>
      </c>
      <c r="M21" s="155">
        <f t="shared" si="1"/>
        <v>0</v>
      </c>
      <c r="N21" s="155">
        <f t="shared" si="5"/>
        <v>-41083.735268311808</v>
      </c>
      <c r="O21" s="156">
        <f t="shared" si="6"/>
        <v>1.0527287676400146</v>
      </c>
      <c r="P21" s="157">
        <f t="shared" si="2"/>
        <v>-0.1775953190039137</v>
      </c>
      <c r="Q21" s="157">
        <f t="shared" si="2"/>
        <v>0</v>
      </c>
      <c r="R21" s="158">
        <f t="shared" si="2"/>
        <v>-0.1251609407509886</v>
      </c>
    </row>
    <row r="22" spans="2:18" x14ac:dyDescent="0.25">
      <c r="B22" s="152" t="s">
        <v>91</v>
      </c>
      <c r="C22" s="153">
        <v>51803.607971014499</v>
      </c>
      <c r="D22" s="154">
        <v>804021</v>
      </c>
      <c r="F22" s="153">
        <v>855824.60797101445</v>
      </c>
      <c r="G22" s="153">
        <v>71319.37999999999</v>
      </c>
      <c r="H22" s="153">
        <v>641874.41999999981</v>
      </c>
      <c r="I22" s="153"/>
      <c r="J22" s="155">
        <f t="shared" si="3"/>
        <v>713193.79999999981</v>
      </c>
      <c r="K22" s="155">
        <f t="shared" si="4"/>
        <v>19515.772028985491</v>
      </c>
      <c r="L22" s="155">
        <f t="shared" si="1"/>
        <v>-162146.58000000019</v>
      </c>
      <c r="M22" s="155">
        <f t="shared" si="1"/>
        <v>0</v>
      </c>
      <c r="N22" s="155">
        <f t="shared" si="5"/>
        <v>-142630.8079710147</v>
      </c>
      <c r="O22" s="156">
        <f t="shared" si="6"/>
        <v>0.37672611606328821</v>
      </c>
      <c r="P22" s="157">
        <f t="shared" si="2"/>
        <v>-0.20166958325715398</v>
      </c>
      <c r="Q22" s="157">
        <f t="shared" si="2"/>
        <v>0</v>
      </c>
      <c r="R22" s="158">
        <f t="shared" si="2"/>
        <v>-0.16665892361889809</v>
      </c>
    </row>
    <row r="23" spans="2:18" x14ac:dyDescent="0.25">
      <c r="B23" s="152" t="s">
        <v>92</v>
      </c>
      <c r="C23" s="153">
        <v>29437.10144927536</v>
      </c>
      <c r="D23" s="154">
        <v>853400</v>
      </c>
      <c r="E23" s="142"/>
      <c r="F23" s="153">
        <v>882837.10144927539</v>
      </c>
      <c r="G23" s="153">
        <v>61575.999999999993</v>
      </c>
      <c r="H23" s="153">
        <v>817333</v>
      </c>
      <c r="I23" s="153"/>
      <c r="J23" s="155">
        <f t="shared" si="3"/>
        <v>878909</v>
      </c>
      <c r="K23" s="155">
        <f t="shared" si="4"/>
        <v>32138.898550724633</v>
      </c>
      <c r="L23" s="155">
        <f t="shared" si="1"/>
        <v>-36067</v>
      </c>
      <c r="M23" s="155">
        <f t="shared" si="1"/>
        <v>0</v>
      </c>
      <c r="N23" s="155">
        <f t="shared" si="5"/>
        <v>-3928.1014492753675</v>
      </c>
      <c r="O23" s="156">
        <f t="shared" si="6"/>
        <v>1.0917820358809742</v>
      </c>
      <c r="P23" s="157">
        <f t="shared" si="2"/>
        <v>-4.226271385048043E-2</v>
      </c>
      <c r="Q23" s="157">
        <f t="shared" si="2"/>
        <v>0</v>
      </c>
      <c r="R23" s="158">
        <f t="shared" si="2"/>
        <v>-4.4494068530048763E-3</v>
      </c>
    </row>
    <row r="24" spans="2:18" x14ac:dyDescent="0.25">
      <c r="B24" s="152" t="s">
        <v>93</v>
      </c>
      <c r="C24" s="153">
        <v>61830.787309048173</v>
      </c>
      <c r="D24" s="154">
        <v>913120</v>
      </c>
      <c r="E24" s="142">
        <v>321340.54054054053</v>
      </c>
      <c r="F24" s="153">
        <v>1296291.3278495888</v>
      </c>
      <c r="G24" s="153"/>
      <c r="H24" s="153"/>
      <c r="I24" s="153">
        <v>885359.495</v>
      </c>
      <c r="J24" s="155">
        <f t="shared" si="3"/>
        <v>885359.495</v>
      </c>
      <c r="K24" s="155">
        <f t="shared" si="4"/>
        <v>-61830.787309048173</v>
      </c>
      <c r="L24" s="155">
        <f t="shared" si="1"/>
        <v>-913120</v>
      </c>
      <c r="M24" s="155">
        <f t="shared" si="1"/>
        <v>564018.95445945952</v>
      </c>
      <c r="N24" s="155">
        <f t="shared" si="5"/>
        <v>-410931.83284958871</v>
      </c>
      <c r="O24" s="156">
        <f t="shared" si="6"/>
        <v>-1</v>
      </c>
      <c r="P24" s="157">
        <f t="shared" si="2"/>
        <v>-1</v>
      </c>
      <c r="Q24" s="157">
        <f t="shared" si="2"/>
        <v>1.7552063412562242</v>
      </c>
      <c r="R24" s="158">
        <f t="shared" si="2"/>
        <v>-0.31700577178995826</v>
      </c>
    </row>
    <row r="25" spans="2:18" x14ac:dyDescent="0.25">
      <c r="B25" s="152" t="s">
        <v>94</v>
      </c>
      <c r="D25" s="154">
        <v>303905.64932432433</v>
      </c>
      <c r="E25" s="142">
        <v>11366.27027027027</v>
      </c>
      <c r="F25" s="153">
        <v>315271.91959459463</v>
      </c>
      <c r="G25" s="153">
        <v>27914.642</v>
      </c>
      <c r="H25" s="153">
        <v>251231.77799999999</v>
      </c>
      <c r="I25" s="153"/>
      <c r="J25" s="155">
        <f t="shared" si="3"/>
        <v>279146.42</v>
      </c>
      <c r="K25" s="155">
        <f t="shared" si="4"/>
        <v>27914.642</v>
      </c>
      <c r="L25" s="155">
        <f t="shared" si="1"/>
        <v>-52673.87132432434</v>
      </c>
      <c r="M25" s="155">
        <f t="shared" si="1"/>
        <v>-11366.27027027027</v>
      </c>
      <c r="N25" s="155">
        <f t="shared" si="5"/>
        <v>-36125.499594594614</v>
      </c>
      <c r="O25" s="156">
        <f t="shared" si="6"/>
        <v>0</v>
      </c>
      <c r="P25" s="157">
        <f t="shared" si="2"/>
        <v>-0.17332310683080274</v>
      </c>
      <c r="Q25" s="157">
        <f t="shared" si="2"/>
        <v>-1</v>
      </c>
      <c r="R25" s="158">
        <f t="shared" si="2"/>
        <v>-0.11458521152485789</v>
      </c>
    </row>
    <row r="26" spans="2:18" x14ac:dyDescent="0.25">
      <c r="B26" s="152" t="s">
        <v>95</v>
      </c>
      <c r="D26" s="154">
        <v>59812.5</v>
      </c>
      <c r="E26" s="142">
        <v>107314.20000000001</v>
      </c>
      <c r="F26" s="153">
        <v>167126.70000000001</v>
      </c>
      <c r="G26" s="153">
        <v>14994.682000000001</v>
      </c>
      <c r="H26" s="153">
        <v>134952.13800000001</v>
      </c>
      <c r="I26" s="153"/>
      <c r="J26" s="155">
        <f t="shared" si="3"/>
        <v>149946.82</v>
      </c>
      <c r="K26" s="155">
        <f t="shared" si="4"/>
        <v>14994.682000000001</v>
      </c>
      <c r="L26" s="155">
        <f t="shared" si="1"/>
        <v>75139.638000000006</v>
      </c>
      <c r="M26" s="155">
        <f t="shared" si="1"/>
        <v>-107314.20000000001</v>
      </c>
      <c r="N26" s="155">
        <f t="shared" si="5"/>
        <v>-17179.880000000005</v>
      </c>
      <c r="O26" s="156">
        <f t="shared" si="6"/>
        <v>0</v>
      </c>
      <c r="P26" s="157">
        <f t="shared" si="2"/>
        <v>1.256253090909091</v>
      </c>
      <c r="Q26" s="157">
        <f t="shared" si="2"/>
        <v>-1</v>
      </c>
      <c r="R26" s="158">
        <f t="shared" si="2"/>
        <v>-0.1027955437401684</v>
      </c>
    </row>
    <row r="27" spans="2:18" x14ac:dyDescent="0.25">
      <c r="B27" s="152" t="s">
        <v>96</v>
      </c>
      <c r="D27" s="159">
        <v>28800</v>
      </c>
      <c r="E27" s="142"/>
      <c r="F27" s="153">
        <v>28800</v>
      </c>
      <c r="G27" s="153">
        <v>29592</v>
      </c>
      <c r="H27" s="153">
        <v>332988.70500000007</v>
      </c>
      <c r="I27" s="153"/>
      <c r="J27" s="155">
        <f t="shared" si="3"/>
        <v>362580.70500000007</v>
      </c>
      <c r="K27" s="155">
        <f t="shared" si="4"/>
        <v>29592</v>
      </c>
      <c r="L27" s="155">
        <f t="shared" si="1"/>
        <v>304188.70500000007</v>
      </c>
      <c r="M27" s="155">
        <f>+I27-E27</f>
        <v>0</v>
      </c>
      <c r="N27" s="155">
        <f t="shared" si="5"/>
        <v>333780.70500000007</v>
      </c>
      <c r="O27" s="156">
        <f t="shared" si="6"/>
        <v>0</v>
      </c>
      <c r="P27" s="157">
        <f t="shared" si="2"/>
        <v>10.562107812500003</v>
      </c>
      <c r="Q27" s="157">
        <f t="shared" si="2"/>
        <v>0</v>
      </c>
      <c r="R27" s="158">
        <f t="shared" si="2"/>
        <v>11.589607812500002</v>
      </c>
    </row>
    <row r="28" spans="2:18" x14ac:dyDescent="0.25">
      <c r="B28" s="152" t="s">
        <v>97</v>
      </c>
      <c r="D28" s="159"/>
      <c r="E28" s="142">
        <v>7696</v>
      </c>
      <c r="F28" s="153">
        <v>7696</v>
      </c>
      <c r="G28" s="153">
        <v>0</v>
      </c>
      <c r="H28" s="153">
        <v>0</v>
      </c>
      <c r="I28" s="153"/>
      <c r="J28" s="155">
        <f t="shared" si="3"/>
        <v>0</v>
      </c>
      <c r="K28" s="155">
        <f t="shared" si="4"/>
        <v>0</v>
      </c>
      <c r="L28" s="155">
        <f t="shared" si="1"/>
        <v>0</v>
      </c>
      <c r="M28" s="155">
        <f t="shared" si="1"/>
        <v>-7696</v>
      </c>
      <c r="N28" s="155">
        <f t="shared" si="5"/>
        <v>-7696</v>
      </c>
      <c r="O28" s="156">
        <f t="shared" si="6"/>
        <v>0</v>
      </c>
      <c r="P28" s="157">
        <f t="shared" si="2"/>
        <v>0</v>
      </c>
      <c r="Q28" s="157">
        <f t="shared" si="2"/>
        <v>-1</v>
      </c>
      <c r="R28" s="158">
        <f t="shared" si="2"/>
        <v>-1</v>
      </c>
    </row>
    <row r="29" spans="2:18" x14ac:dyDescent="0.25">
      <c r="B29" s="152" t="s">
        <v>98</v>
      </c>
      <c r="E29" s="154">
        <v>31689.37837837838</v>
      </c>
      <c r="F29" s="153">
        <v>31689.37837837838</v>
      </c>
      <c r="G29" s="153">
        <v>0</v>
      </c>
      <c r="H29" s="153">
        <v>0</v>
      </c>
      <c r="I29" s="153"/>
      <c r="J29" s="155">
        <f t="shared" si="3"/>
        <v>0</v>
      </c>
      <c r="K29" s="155">
        <f t="shared" si="4"/>
        <v>0</v>
      </c>
      <c r="L29" s="155">
        <f t="shared" si="1"/>
        <v>0</v>
      </c>
      <c r="M29" s="155">
        <f t="shared" si="1"/>
        <v>-31689.37837837838</v>
      </c>
      <c r="N29" s="155">
        <f t="shared" si="5"/>
        <v>-31689.37837837838</v>
      </c>
      <c r="O29" s="156">
        <f t="shared" si="6"/>
        <v>0</v>
      </c>
      <c r="P29" s="157">
        <f t="shared" si="2"/>
        <v>0</v>
      </c>
      <c r="Q29" s="157">
        <f t="shared" si="2"/>
        <v>-1</v>
      </c>
      <c r="R29" s="158">
        <f t="shared" si="2"/>
        <v>-1</v>
      </c>
    </row>
    <row r="30" spans="2:18" x14ac:dyDescent="0.25">
      <c r="B30" s="152" t="s">
        <v>99</v>
      </c>
      <c r="C30" s="154"/>
      <c r="D30" s="154"/>
      <c r="E30" s="142">
        <v>5837.8378378378375</v>
      </c>
      <c r="F30" s="153">
        <v>5837.8378378378375</v>
      </c>
      <c r="G30" s="153">
        <v>605.18700000000001</v>
      </c>
      <c r="H30" s="153">
        <v>5446.683</v>
      </c>
      <c r="I30" s="153"/>
      <c r="J30" s="155">
        <f t="shared" si="3"/>
        <v>6051.87</v>
      </c>
      <c r="K30" s="155">
        <f t="shared" si="4"/>
        <v>605.18700000000001</v>
      </c>
      <c r="L30" s="155">
        <f t="shared" si="1"/>
        <v>5446.683</v>
      </c>
      <c r="M30" s="155">
        <f t="shared" si="1"/>
        <v>-5837.8378378378375</v>
      </c>
      <c r="N30" s="155">
        <f t="shared" si="5"/>
        <v>214.03216216216242</v>
      </c>
      <c r="O30" s="156">
        <f t="shared" si="6"/>
        <v>0</v>
      </c>
      <c r="P30" s="157">
        <f t="shared" si="2"/>
        <v>0</v>
      </c>
      <c r="Q30" s="157">
        <f t="shared" si="2"/>
        <v>-1</v>
      </c>
      <c r="R30" s="158">
        <f t="shared" si="2"/>
        <v>3.6662916666666712E-2</v>
      </c>
    </row>
    <row r="31" spans="2:18" x14ac:dyDescent="0.25">
      <c r="B31" s="152" t="s">
        <v>100</v>
      </c>
      <c r="C31" s="154"/>
      <c r="D31" s="154"/>
      <c r="E31" s="142">
        <v>12480</v>
      </c>
      <c r="F31" s="153">
        <v>12480</v>
      </c>
      <c r="G31" s="153">
        <v>363.072</v>
      </c>
      <c r="H31" s="153">
        <v>3267.6479999999997</v>
      </c>
      <c r="I31" s="153"/>
      <c r="J31" s="155">
        <f t="shared" si="3"/>
        <v>3630.72</v>
      </c>
      <c r="K31" s="155">
        <f t="shared" si="4"/>
        <v>363.072</v>
      </c>
      <c r="L31" s="155">
        <f t="shared" si="1"/>
        <v>3267.6479999999997</v>
      </c>
      <c r="M31" s="155">
        <f t="shared" si="1"/>
        <v>-12480</v>
      </c>
      <c r="N31" s="155">
        <f t="shared" si="5"/>
        <v>-8849.2800000000007</v>
      </c>
      <c r="O31" s="156">
        <f t="shared" si="6"/>
        <v>0</v>
      </c>
      <c r="P31" s="157">
        <f t="shared" si="2"/>
        <v>0</v>
      </c>
      <c r="Q31" s="157">
        <f t="shared" si="2"/>
        <v>-1</v>
      </c>
      <c r="R31" s="158">
        <f t="shared" si="2"/>
        <v>-0.70907692307692316</v>
      </c>
    </row>
    <row r="32" spans="2:18" x14ac:dyDescent="0.25">
      <c r="B32" s="152" t="s">
        <v>101</v>
      </c>
      <c r="C32" s="154"/>
      <c r="D32" s="154"/>
      <c r="E32" s="142"/>
      <c r="F32" s="153"/>
      <c r="G32" s="153">
        <v>10000</v>
      </c>
      <c r="H32" s="153">
        <v>754184</v>
      </c>
      <c r="I32" s="153">
        <v>141318</v>
      </c>
      <c r="J32" s="155">
        <f t="shared" si="3"/>
        <v>905502</v>
      </c>
      <c r="K32" s="155">
        <f t="shared" si="4"/>
        <v>10000</v>
      </c>
      <c r="L32" s="155">
        <f t="shared" si="4"/>
        <v>754184</v>
      </c>
      <c r="M32" s="155">
        <f t="shared" si="4"/>
        <v>141318</v>
      </c>
      <c r="N32" s="155">
        <f t="shared" si="5"/>
        <v>905502</v>
      </c>
      <c r="O32" s="156">
        <f t="shared" si="6"/>
        <v>0</v>
      </c>
      <c r="P32" s="157">
        <f t="shared" si="6"/>
        <v>0</v>
      </c>
      <c r="Q32" s="157">
        <f t="shared" si="6"/>
        <v>0</v>
      </c>
      <c r="R32" s="158">
        <f t="shared" si="6"/>
        <v>0</v>
      </c>
    </row>
    <row r="33" spans="2:18" x14ac:dyDescent="0.25">
      <c r="B33" s="152" t="s">
        <v>102</v>
      </c>
      <c r="C33" s="154"/>
      <c r="D33" s="154"/>
      <c r="E33" s="142"/>
      <c r="F33" s="153"/>
      <c r="G33" s="153">
        <v>5000</v>
      </c>
      <c r="H33" s="153">
        <v>231458.16599999994</v>
      </c>
      <c r="I33" s="153"/>
      <c r="J33" s="155">
        <f t="shared" si="3"/>
        <v>236458.16599999994</v>
      </c>
      <c r="K33" s="155">
        <f t="shared" si="4"/>
        <v>5000</v>
      </c>
      <c r="L33" s="155">
        <f t="shared" si="4"/>
        <v>231458.16599999994</v>
      </c>
      <c r="M33" s="155">
        <f t="shared" si="4"/>
        <v>0</v>
      </c>
      <c r="N33" s="155">
        <f t="shared" si="5"/>
        <v>236458.16599999994</v>
      </c>
      <c r="O33" s="156">
        <f t="shared" si="6"/>
        <v>0</v>
      </c>
      <c r="P33" s="157">
        <f t="shared" si="6"/>
        <v>0</v>
      </c>
      <c r="Q33" s="157">
        <f t="shared" si="6"/>
        <v>0</v>
      </c>
      <c r="R33" s="158">
        <f t="shared" si="6"/>
        <v>0</v>
      </c>
    </row>
    <row r="34" spans="2:18" x14ac:dyDescent="0.25">
      <c r="B34" s="152" t="s">
        <v>103</v>
      </c>
      <c r="C34" s="154"/>
      <c r="D34" s="154"/>
      <c r="E34" s="142"/>
      <c r="F34" s="153"/>
      <c r="G34" s="153">
        <v>2000</v>
      </c>
      <c r="H34" s="153">
        <v>189028.37700000001</v>
      </c>
      <c r="I34" s="153"/>
      <c r="J34" s="155">
        <f t="shared" si="3"/>
        <v>191028.37700000001</v>
      </c>
      <c r="K34" s="155">
        <f t="shared" si="4"/>
        <v>2000</v>
      </c>
      <c r="L34" s="155">
        <f t="shared" si="4"/>
        <v>189028.37700000001</v>
      </c>
      <c r="M34" s="155">
        <f t="shared" si="4"/>
        <v>0</v>
      </c>
      <c r="N34" s="155">
        <f t="shared" si="5"/>
        <v>191028.37700000001</v>
      </c>
      <c r="O34" s="156">
        <f t="shared" si="6"/>
        <v>0</v>
      </c>
      <c r="P34" s="157">
        <f t="shared" si="6"/>
        <v>0</v>
      </c>
      <c r="Q34" s="157">
        <f t="shared" si="6"/>
        <v>0</v>
      </c>
      <c r="R34" s="158">
        <f t="shared" si="6"/>
        <v>0</v>
      </c>
    </row>
    <row r="35" spans="2:18" x14ac:dyDescent="0.25">
      <c r="B35" s="152" t="s">
        <v>104</v>
      </c>
      <c r="C35" s="154"/>
      <c r="D35" s="154"/>
      <c r="E35" s="142"/>
      <c r="F35" s="153"/>
      <c r="G35" s="153">
        <v>1000</v>
      </c>
      <c r="H35" s="153">
        <v>52726.850999998831</v>
      </c>
      <c r="I35" s="153"/>
      <c r="J35" s="155">
        <f t="shared" si="3"/>
        <v>53726.850999998831</v>
      </c>
      <c r="K35" s="155">
        <f t="shared" si="4"/>
        <v>1000</v>
      </c>
      <c r="L35" s="155">
        <f t="shared" si="4"/>
        <v>52726.850999998831</v>
      </c>
      <c r="M35" s="155">
        <f t="shared" si="4"/>
        <v>0</v>
      </c>
      <c r="N35" s="155">
        <f t="shared" si="5"/>
        <v>53726.850999998831</v>
      </c>
      <c r="O35" s="156">
        <f t="shared" si="6"/>
        <v>0</v>
      </c>
      <c r="P35" s="157">
        <f t="shared" si="6"/>
        <v>0</v>
      </c>
      <c r="Q35" s="157">
        <f t="shared" si="6"/>
        <v>0</v>
      </c>
      <c r="R35" s="158">
        <f t="shared" si="6"/>
        <v>0</v>
      </c>
    </row>
    <row r="36" spans="2:18" ht="13" thickBot="1" x14ac:dyDescent="0.3">
      <c r="B36" s="160" t="s">
        <v>82</v>
      </c>
      <c r="C36" s="161">
        <f>SUM(C16:C31)</f>
        <v>782017.40191931068</v>
      </c>
      <c r="D36" s="161">
        <f t="shared" ref="D36:F36" si="7">SUM(D16:D31)</f>
        <v>5280236.6979729729</v>
      </c>
      <c r="E36" s="161">
        <f t="shared" si="7"/>
        <v>497724.22702702705</v>
      </c>
      <c r="F36" s="161">
        <f t="shared" si="7"/>
        <v>6559978.3269193098</v>
      </c>
      <c r="G36" s="161">
        <f t="shared" ref="G36:I36" si="8">SUM(G16:G35)</f>
        <v>864919.82499999995</v>
      </c>
      <c r="H36" s="161">
        <f t="shared" si="8"/>
        <v>5175200.3669999996</v>
      </c>
      <c r="I36" s="161">
        <f t="shared" si="8"/>
        <v>1026677.495</v>
      </c>
      <c r="J36" s="161">
        <f>SUM(J16:J35)</f>
        <v>7066797.686999999</v>
      </c>
      <c r="K36" s="161">
        <f t="shared" ref="K36:N36" si="9">SUM(K16:K35)</f>
        <v>82902.423080689216</v>
      </c>
      <c r="L36" s="161">
        <f t="shared" si="9"/>
        <v>-105036.33097297407</v>
      </c>
      <c r="M36" s="161">
        <f t="shared" si="9"/>
        <v>528953.26797297294</v>
      </c>
      <c r="N36" s="161">
        <f t="shared" si="9"/>
        <v>506819.36008068791</v>
      </c>
      <c r="O36" s="162">
        <f t="shared" si="6"/>
        <v>0.10601096967563794</v>
      </c>
      <c r="P36" s="162">
        <f t="shared" si="6"/>
        <v>-1.9892352744962438E-2</v>
      </c>
      <c r="Q36" s="162">
        <f t="shared" si="6"/>
        <v>1.062743662554827</v>
      </c>
      <c r="R36" s="162">
        <f t="shared" si="6"/>
        <v>7.725930404387478E-2</v>
      </c>
    </row>
    <row r="37" spans="2:18" x14ac:dyDescent="0.25">
      <c r="B37" s="163"/>
      <c r="D37" s="154"/>
      <c r="F37" s="142"/>
      <c r="G37" s="142">
        <f>+G36-G7</f>
        <v>0.29500000004190952</v>
      </c>
      <c r="H37" s="142">
        <f>+G8</f>
        <v>5175200.4799999995</v>
      </c>
      <c r="I37" s="142">
        <f>+H9</f>
        <v>1026677.7729729731</v>
      </c>
      <c r="J37" s="142"/>
      <c r="K37" s="142"/>
      <c r="L37" s="142"/>
      <c r="M37" s="142"/>
      <c r="N37" s="142"/>
      <c r="O37" s="142"/>
      <c r="P37" s="142"/>
    </row>
    <row r="38" spans="2:18" x14ac:dyDescent="0.25">
      <c r="H38" s="141">
        <f>+H36-H37</f>
        <v>-0.11299999989569187</v>
      </c>
      <c r="I38" s="141">
        <f>+I36-I37</f>
        <v>-0.27797297306824476</v>
      </c>
      <c r="P38" s="128">
        <f>+'[3]CAMP JUL 24 - JUN 25final'!BN69</f>
        <v>7595610.3699999992</v>
      </c>
    </row>
    <row r="39" spans="2:18" x14ac:dyDescent="0.25">
      <c r="P39" s="128">
        <f>+J36-P38</f>
        <v>-528812.68300000019</v>
      </c>
    </row>
    <row r="41" spans="2:18" ht="13" thickBot="1" x14ac:dyDescent="0.3">
      <c r="B41" s="127" t="s">
        <v>105</v>
      </c>
    </row>
    <row r="42" spans="2:18" x14ac:dyDescent="0.25">
      <c r="B42" s="191" t="s">
        <v>66</v>
      </c>
      <c r="C42" s="192"/>
      <c r="D42" s="192"/>
      <c r="E42" s="192"/>
      <c r="F42" s="193"/>
      <c r="G42" s="129"/>
      <c r="H42" s="129"/>
      <c r="I42" s="130"/>
    </row>
    <row r="43" spans="2:18" ht="62.5" x14ac:dyDescent="0.25">
      <c r="B43" s="131"/>
      <c r="C43" s="164" t="s">
        <v>67</v>
      </c>
      <c r="D43" s="164" t="s">
        <v>68</v>
      </c>
      <c r="E43" s="165" t="s">
        <v>69</v>
      </c>
      <c r="F43" s="132" t="s">
        <v>70</v>
      </c>
      <c r="G43" s="132" t="s">
        <v>49</v>
      </c>
      <c r="H43" s="127" t="s">
        <v>71</v>
      </c>
      <c r="I43" s="135"/>
      <c r="P43" s="127"/>
    </row>
    <row r="44" spans="2:18" x14ac:dyDescent="0.25">
      <c r="B44" s="131"/>
      <c r="F44" s="132" t="s">
        <v>72</v>
      </c>
      <c r="G44" s="132" t="s">
        <v>72</v>
      </c>
      <c r="H44" s="132" t="s">
        <v>72</v>
      </c>
      <c r="I44" s="135"/>
      <c r="P44" s="127"/>
    </row>
    <row r="45" spans="2:18" x14ac:dyDescent="0.25">
      <c r="B45" s="131"/>
      <c r="F45" s="132"/>
      <c r="G45" s="132"/>
      <c r="H45" s="132"/>
      <c r="I45" s="135"/>
      <c r="P45" s="127"/>
    </row>
    <row r="46" spans="2:18" x14ac:dyDescent="0.25">
      <c r="B46" s="136" t="s">
        <v>73</v>
      </c>
      <c r="C46" s="137"/>
      <c r="D46" s="137"/>
      <c r="E46" s="137"/>
      <c r="F46" s="138">
        <v>782017.40191931068</v>
      </c>
      <c r="G46" s="138">
        <v>864919.52999999991</v>
      </c>
      <c r="H46" s="138">
        <f>+G46-F46</f>
        <v>82902.128080689232</v>
      </c>
      <c r="I46" s="135"/>
      <c r="P46" s="127"/>
    </row>
    <row r="47" spans="2:18" x14ac:dyDescent="0.25">
      <c r="B47" s="136" t="s">
        <v>106</v>
      </c>
      <c r="C47" s="137">
        <v>51.12</v>
      </c>
      <c r="D47" s="138">
        <f>2658240/51.12</f>
        <v>52000</v>
      </c>
      <c r="E47" s="139">
        <f>+D47/27000</f>
        <v>1.9259259259259258</v>
      </c>
      <c r="F47" s="138">
        <v>5280236.6979729729</v>
      </c>
      <c r="G47" s="138">
        <f>6040120.01-G46</f>
        <v>5175200.4799999995</v>
      </c>
      <c r="H47" s="138">
        <f t="shared" ref="H47:H48" si="10">+G47-F47</f>
        <v>-105036.21797297336</v>
      </c>
      <c r="I47" s="135"/>
      <c r="P47" s="127"/>
    </row>
    <row r="48" spans="2:18" x14ac:dyDescent="0.25">
      <c r="B48" s="136" t="s">
        <v>75</v>
      </c>
      <c r="C48" s="137"/>
      <c r="D48" s="138"/>
      <c r="E48" s="137"/>
      <c r="F48" s="138">
        <v>497724.22702702699</v>
      </c>
      <c r="G48" s="138">
        <v>1524402</v>
      </c>
      <c r="H48" s="138">
        <f t="shared" si="10"/>
        <v>1026677.7729729731</v>
      </c>
      <c r="I48" s="135"/>
      <c r="P48" s="127"/>
    </row>
    <row r="49" spans="2:18" x14ac:dyDescent="0.25">
      <c r="B49" s="136" t="s">
        <v>76</v>
      </c>
      <c r="C49" s="137"/>
      <c r="D49" s="137"/>
      <c r="E49" s="137"/>
      <c r="F49" s="141">
        <f>SUM(F46:F48)</f>
        <v>6559978.3269193107</v>
      </c>
      <c r="G49" s="142">
        <f>SUM(G46:G48)</f>
        <v>7564522.0099999998</v>
      </c>
      <c r="H49" s="141">
        <f>SUM(H46:H48)</f>
        <v>1004543.6830806889</v>
      </c>
      <c r="I49" s="135"/>
      <c r="M49" s="141"/>
      <c r="N49" s="141"/>
      <c r="O49" s="141"/>
      <c r="P49" s="141"/>
      <c r="Q49" s="141"/>
      <c r="R49" s="141"/>
    </row>
    <row r="50" spans="2:18" ht="13" thickBot="1" x14ac:dyDescent="0.3">
      <c r="B50" s="143"/>
      <c r="C50" s="144"/>
      <c r="D50" s="144"/>
      <c r="E50" s="144"/>
      <c r="F50" s="145"/>
      <c r="G50" s="145"/>
      <c r="H50" s="144"/>
      <c r="I50" s="146"/>
      <c r="P50" s="127"/>
    </row>
    <row r="51" spans="2:18" x14ac:dyDescent="0.25">
      <c r="P51" s="127"/>
    </row>
    <row r="52" spans="2:18" ht="13" thickBot="1" x14ac:dyDescent="0.3">
      <c r="B52" s="194" t="s">
        <v>77</v>
      </c>
      <c r="C52" s="194"/>
      <c r="D52" s="194"/>
      <c r="E52" s="194"/>
      <c r="F52" s="194"/>
      <c r="G52" s="194"/>
      <c r="H52" s="194"/>
      <c r="I52" s="194"/>
      <c r="J52" s="194"/>
      <c r="K52" s="194"/>
      <c r="L52" s="194"/>
      <c r="M52" s="194"/>
      <c r="N52" s="194"/>
      <c r="O52" s="194"/>
      <c r="P52" s="194"/>
      <c r="Q52" s="194"/>
      <c r="R52" s="194"/>
    </row>
    <row r="53" spans="2:18" ht="13" thickBot="1" x14ac:dyDescent="0.3">
      <c r="B53" s="195" t="s">
        <v>78</v>
      </c>
      <c r="C53" s="197" t="s">
        <v>79</v>
      </c>
      <c r="D53" s="198"/>
      <c r="E53" s="198"/>
      <c r="F53" s="199"/>
      <c r="G53" s="197" t="s">
        <v>49</v>
      </c>
      <c r="H53" s="198"/>
      <c r="I53" s="198"/>
      <c r="J53" s="199"/>
      <c r="K53" s="197" t="s">
        <v>80</v>
      </c>
      <c r="L53" s="198"/>
      <c r="M53" s="198"/>
      <c r="N53" s="198"/>
      <c r="O53" s="197" t="s">
        <v>81</v>
      </c>
      <c r="P53" s="198"/>
      <c r="Q53" s="198"/>
      <c r="R53" s="199"/>
    </row>
    <row r="54" spans="2:18" ht="37.5" x14ac:dyDescent="0.25">
      <c r="B54" s="196"/>
      <c r="C54" s="147" t="s">
        <v>73</v>
      </c>
      <c r="D54" s="148" t="s">
        <v>82</v>
      </c>
      <c r="E54" s="148" t="s">
        <v>75</v>
      </c>
      <c r="F54" s="148" t="s">
        <v>83</v>
      </c>
      <c r="G54" s="147" t="s">
        <v>73</v>
      </c>
      <c r="H54" s="148" t="s">
        <v>82</v>
      </c>
      <c r="I54" s="148" t="s">
        <v>75</v>
      </c>
      <c r="J54" s="148" t="s">
        <v>84</v>
      </c>
      <c r="K54" s="147" t="s">
        <v>73</v>
      </c>
      <c r="L54" s="148" t="s">
        <v>82</v>
      </c>
      <c r="M54" s="148" t="s">
        <v>75</v>
      </c>
      <c r="N54" s="149" t="s">
        <v>84</v>
      </c>
      <c r="O54" s="150" t="s">
        <v>73</v>
      </c>
      <c r="P54" s="148" t="s">
        <v>82</v>
      </c>
      <c r="Q54" s="148" t="s">
        <v>75</v>
      </c>
      <c r="R54" s="151" t="s">
        <v>84</v>
      </c>
    </row>
    <row r="55" spans="2:18" x14ac:dyDescent="0.25">
      <c r="B55" s="152" t="s">
        <v>85</v>
      </c>
      <c r="C55" s="153">
        <v>546013.15000000014</v>
      </c>
      <c r="D55" s="154"/>
      <c r="F55" s="153">
        <v>546013.15000000014</v>
      </c>
      <c r="G55" s="153">
        <v>502619.58999999997</v>
      </c>
      <c r="H55" s="153"/>
      <c r="I55" s="153"/>
      <c r="J55" s="155">
        <f>SUM(G55:I55)</f>
        <v>502619.58999999997</v>
      </c>
      <c r="K55" s="155">
        <f>+G55-C55</f>
        <v>-43393.560000000172</v>
      </c>
      <c r="L55" s="155">
        <f t="shared" ref="L55:M74" si="11">+H55-D55</f>
        <v>0</v>
      </c>
      <c r="M55" s="155">
        <f t="shared" si="11"/>
        <v>0</v>
      </c>
      <c r="N55" s="155">
        <f>SUM(K55:M55)</f>
        <v>-43393.560000000172</v>
      </c>
      <c r="O55" s="156">
        <f>IFERROR(+K55/C55,0)</f>
        <v>-7.9473470556524442E-2</v>
      </c>
      <c r="P55" s="157">
        <f t="shared" ref="P55:R74" si="12">IFERROR(+L55/D55,0)</f>
        <v>0</v>
      </c>
      <c r="Q55" s="157">
        <f t="shared" si="12"/>
        <v>0</v>
      </c>
      <c r="R55" s="158">
        <f>IFERROR(+N55/F55,0)</f>
        <v>-7.9473470556524442E-2</v>
      </c>
    </row>
    <row r="56" spans="2:18" x14ac:dyDescent="0.25">
      <c r="B56" s="152" t="s">
        <v>86</v>
      </c>
      <c r="D56" s="154">
        <v>752284</v>
      </c>
      <c r="F56" s="153">
        <v>752284</v>
      </c>
      <c r="G56" s="153">
        <v>67996.851999999999</v>
      </c>
      <c r="H56" s="153">
        <v>611971.66800000006</v>
      </c>
      <c r="I56" s="153"/>
      <c r="J56" s="155">
        <f t="shared" ref="J56:J74" si="13">SUM(G56:I56)</f>
        <v>679968.52</v>
      </c>
      <c r="K56" s="155">
        <f t="shared" ref="K56:K74" si="14">+G56-C56</f>
        <v>67996.851999999999</v>
      </c>
      <c r="L56" s="155">
        <f t="shared" si="11"/>
        <v>-140312.33199999994</v>
      </c>
      <c r="M56" s="155">
        <f t="shared" si="11"/>
        <v>0</v>
      </c>
      <c r="N56" s="155">
        <f t="shared" ref="N56:N74" si="15">SUM(K56:M56)</f>
        <v>-72315.479999999938</v>
      </c>
      <c r="O56" s="156">
        <f t="shared" ref="O56:O74" si="16">IFERROR(+K56/C56,0)</f>
        <v>0</v>
      </c>
      <c r="P56" s="157">
        <f t="shared" si="12"/>
        <v>-0.18651510865577353</v>
      </c>
      <c r="Q56" s="157">
        <f t="shared" si="12"/>
        <v>0</v>
      </c>
      <c r="R56" s="158">
        <f t="shared" si="12"/>
        <v>-9.6127898506415052E-2</v>
      </c>
    </row>
    <row r="57" spans="2:18" x14ac:dyDescent="0.25">
      <c r="B57" s="152" t="s">
        <v>87</v>
      </c>
      <c r="D57" s="154">
        <v>218817</v>
      </c>
      <c r="F57" s="153">
        <v>218817</v>
      </c>
      <c r="G57" s="153">
        <v>16222.067999999999</v>
      </c>
      <c r="H57" s="153">
        <v>145998.61199999999</v>
      </c>
      <c r="I57" s="153"/>
      <c r="J57" s="155">
        <f t="shared" si="13"/>
        <v>162220.68</v>
      </c>
      <c r="K57" s="155">
        <f t="shared" si="14"/>
        <v>16222.067999999999</v>
      </c>
      <c r="L57" s="155">
        <f t="shared" si="11"/>
        <v>-72818.388000000006</v>
      </c>
      <c r="M57" s="155">
        <f t="shared" si="11"/>
        <v>0</v>
      </c>
      <c r="N57" s="155">
        <f t="shared" si="15"/>
        <v>-56596.320000000007</v>
      </c>
      <c r="O57" s="156">
        <f t="shared" si="16"/>
        <v>0</v>
      </c>
      <c r="P57" s="157">
        <f t="shared" si="12"/>
        <v>-0.33278213301525933</v>
      </c>
      <c r="Q57" s="157">
        <f t="shared" si="12"/>
        <v>0</v>
      </c>
      <c r="R57" s="158">
        <f t="shared" si="12"/>
        <v>-0.25864681446139931</v>
      </c>
    </row>
    <row r="58" spans="2:18" x14ac:dyDescent="0.25">
      <c r="B58" s="152" t="s">
        <v>88</v>
      </c>
      <c r="C58" s="153">
        <v>42675.2839796318</v>
      </c>
      <c r="D58" s="154">
        <v>576760.81081081077</v>
      </c>
      <c r="F58" s="153">
        <v>619436.09479044261</v>
      </c>
      <c r="G58" s="153">
        <v>5000</v>
      </c>
      <c r="H58" s="153">
        <v>390908.15100000001</v>
      </c>
      <c r="I58" s="153"/>
      <c r="J58" s="155">
        <f t="shared" si="13"/>
        <v>395908.15100000001</v>
      </c>
      <c r="K58" s="155">
        <f t="shared" si="14"/>
        <v>-37675.2839796318</v>
      </c>
      <c r="L58" s="155">
        <f t="shared" si="11"/>
        <v>-185852.65981081076</v>
      </c>
      <c r="M58" s="155">
        <f t="shared" si="11"/>
        <v>0</v>
      </c>
      <c r="N58" s="155">
        <f t="shared" si="15"/>
        <v>-223527.94379044254</v>
      </c>
      <c r="O58" s="156">
        <f t="shared" si="16"/>
        <v>-0.88283616337769621</v>
      </c>
      <c r="P58" s="157">
        <f t="shared" si="12"/>
        <v>-0.32223524262950348</v>
      </c>
      <c r="Q58" s="157">
        <f t="shared" si="12"/>
        <v>0</v>
      </c>
      <c r="R58" s="158">
        <f t="shared" si="12"/>
        <v>-0.36085715002782137</v>
      </c>
    </row>
    <row r="59" spans="2:18" x14ac:dyDescent="0.25">
      <c r="B59" s="152" t="s">
        <v>89</v>
      </c>
      <c r="C59" s="153">
        <v>36268.115942028977</v>
      </c>
      <c r="D59" s="154">
        <v>455057.83783783781</v>
      </c>
      <c r="F59" s="153">
        <v>491325.9537798668</v>
      </c>
      <c r="G59" s="153">
        <v>20000</v>
      </c>
      <c r="H59" s="153">
        <v>353383.00200000004</v>
      </c>
      <c r="I59" s="153"/>
      <c r="J59" s="155">
        <f t="shared" si="13"/>
        <v>373383.00200000004</v>
      </c>
      <c r="K59" s="155">
        <f t="shared" si="14"/>
        <v>-16268.115942028977</v>
      </c>
      <c r="L59" s="155">
        <f t="shared" si="11"/>
        <v>-101674.83583783777</v>
      </c>
      <c r="M59" s="155">
        <f t="shared" si="11"/>
        <v>0</v>
      </c>
      <c r="N59" s="155">
        <f t="shared" si="15"/>
        <v>-117942.95177986675</v>
      </c>
      <c r="O59" s="156">
        <f t="shared" si="16"/>
        <v>-0.44855144855144841</v>
      </c>
      <c r="P59" s="157">
        <f t="shared" si="12"/>
        <v>-0.22343277575645257</v>
      </c>
      <c r="Q59" s="157">
        <f t="shared" si="12"/>
        <v>0</v>
      </c>
      <c r="R59" s="158">
        <f t="shared" si="12"/>
        <v>-0.24005031867848323</v>
      </c>
    </row>
    <row r="60" spans="2:18" x14ac:dyDescent="0.25">
      <c r="B60" s="152" t="s">
        <v>90</v>
      </c>
      <c r="C60" s="153">
        <v>13989.355268311789</v>
      </c>
      <c r="D60" s="154">
        <v>314257.90000000002</v>
      </c>
      <c r="F60" s="153">
        <v>328247.25526831183</v>
      </c>
      <c r="G60" s="153">
        <v>28716.352000000003</v>
      </c>
      <c r="H60" s="153">
        <v>258447.16800000001</v>
      </c>
      <c r="I60" s="153"/>
      <c r="J60" s="155">
        <f t="shared" si="13"/>
        <v>287163.52000000002</v>
      </c>
      <c r="K60" s="155">
        <f t="shared" si="14"/>
        <v>14726.996731688214</v>
      </c>
      <c r="L60" s="155">
        <f t="shared" si="11"/>
        <v>-55810.732000000018</v>
      </c>
      <c r="M60" s="155">
        <f t="shared" si="11"/>
        <v>0</v>
      </c>
      <c r="N60" s="155">
        <f t="shared" si="15"/>
        <v>-41083.735268311808</v>
      </c>
      <c r="O60" s="156">
        <f t="shared" si="16"/>
        <v>1.0527287676400146</v>
      </c>
      <c r="P60" s="157">
        <f t="shared" si="12"/>
        <v>-0.1775953190039137</v>
      </c>
      <c r="Q60" s="157">
        <f t="shared" si="12"/>
        <v>0</v>
      </c>
      <c r="R60" s="158">
        <f t="shared" si="12"/>
        <v>-0.1251609407509886</v>
      </c>
    </row>
    <row r="61" spans="2:18" x14ac:dyDescent="0.25">
      <c r="B61" s="152" t="s">
        <v>91</v>
      </c>
      <c r="C61" s="153">
        <v>51803.607971014499</v>
      </c>
      <c r="D61" s="154">
        <v>804021</v>
      </c>
      <c r="F61" s="153">
        <v>855824.60797101445</v>
      </c>
      <c r="G61" s="153">
        <v>71319.37999999999</v>
      </c>
      <c r="H61" s="153">
        <v>641874.41999999981</v>
      </c>
      <c r="I61" s="153"/>
      <c r="J61" s="155">
        <f t="shared" si="13"/>
        <v>713193.79999999981</v>
      </c>
      <c r="K61" s="155">
        <f t="shared" si="14"/>
        <v>19515.772028985491</v>
      </c>
      <c r="L61" s="155">
        <f t="shared" si="11"/>
        <v>-162146.58000000019</v>
      </c>
      <c r="M61" s="155">
        <f t="shared" si="11"/>
        <v>0</v>
      </c>
      <c r="N61" s="155">
        <f t="shared" si="15"/>
        <v>-142630.8079710147</v>
      </c>
      <c r="O61" s="156">
        <f t="shared" si="16"/>
        <v>0.37672611606328821</v>
      </c>
      <c r="P61" s="157">
        <f t="shared" si="12"/>
        <v>-0.20166958325715398</v>
      </c>
      <c r="Q61" s="157">
        <f t="shared" si="12"/>
        <v>0</v>
      </c>
      <c r="R61" s="158">
        <f t="shared" si="12"/>
        <v>-0.16665892361889809</v>
      </c>
    </row>
    <row r="62" spans="2:18" x14ac:dyDescent="0.25">
      <c r="B62" s="152" t="s">
        <v>92</v>
      </c>
      <c r="C62" s="153">
        <v>29437.10144927536</v>
      </c>
      <c r="D62" s="154">
        <v>853400</v>
      </c>
      <c r="E62" s="142"/>
      <c r="F62" s="153">
        <v>882837.10144927539</v>
      </c>
      <c r="G62" s="153">
        <v>61575.999999999993</v>
      </c>
      <c r="H62" s="153">
        <v>817333</v>
      </c>
      <c r="I62" s="153"/>
      <c r="J62" s="155">
        <f t="shared" si="13"/>
        <v>878909</v>
      </c>
      <c r="K62" s="155">
        <f t="shared" si="14"/>
        <v>32138.898550724633</v>
      </c>
      <c r="L62" s="155">
        <f t="shared" si="11"/>
        <v>-36067</v>
      </c>
      <c r="M62" s="155">
        <f t="shared" si="11"/>
        <v>0</v>
      </c>
      <c r="N62" s="155">
        <f t="shared" si="15"/>
        <v>-3928.1014492753675</v>
      </c>
      <c r="O62" s="156">
        <f t="shared" si="16"/>
        <v>1.0917820358809742</v>
      </c>
      <c r="P62" s="157">
        <f t="shared" si="12"/>
        <v>-4.226271385048043E-2</v>
      </c>
      <c r="Q62" s="157">
        <f t="shared" si="12"/>
        <v>0</v>
      </c>
      <c r="R62" s="158">
        <f t="shared" si="12"/>
        <v>-4.4494068530048763E-3</v>
      </c>
    </row>
    <row r="63" spans="2:18" x14ac:dyDescent="0.25">
      <c r="B63" s="152" t="s">
        <v>93</v>
      </c>
      <c r="C63" s="153">
        <v>61830.787309048173</v>
      </c>
      <c r="D63" s="154">
        <v>913120</v>
      </c>
      <c r="E63" s="142">
        <v>321340.54054054053</v>
      </c>
      <c r="F63" s="153">
        <v>1296291.3278495888</v>
      </c>
      <c r="G63" s="153"/>
      <c r="H63" s="153"/>
      <c r="I63" s="153">
        <v>885359.495</v>
      </c>
      <c r="J63" s="155">
        <f t="shared" si="13"/>
        <v>885359.495</v>
      </c>
      <c r="K63" s="155">
        <f t="shared" si="14"/>
        <v>-61830.787309048173</v>
      </c>
      <c r="L63" s="155">
        <f t="shared" si="11"/>
        <v>-913120</v>
      </c>
      <c r="M63" s="155">
        <f t="shared" si="11"/>
        <v>564018.95445945952</v>
      </c>
      <c r="N63" s="155">
        <f t="shared" si="15"/>
        <v>-410931.83284958871</v>
      </c>
      <c r="O63" s="156">
        <f t="shared" si="16"/>
        <v>-1</v>
      </c>
      <c r="P63" s="157">
        <f t="shared" si="12"/>
        <v>-1</v>
      </c>
      <c r="Q63" s="157">
        <f t="shared" si="12"/>
        <v>1.7552063412562242</v>
      </c>
      <c r="R63" s="158">
        <f t="shared" si="12"/>
        <v>-0.31700577178995826</v>
      </c>
    </row>
    <row r="64" spans="2:18" x14ac:dyDescent="0.25">
      <c r="B64" s="152" t="s">
        <v>94</v>
      </c>
      <c r="D64" s="154">
        <v>303905.64932432433</v>
      </c>
      <c r="E64" s="142">
        <v>11366.27027027027</v>
      </c>
      <c r="F64" s="153">
        <v>315271.91959459463</v>
      </c>
      <c r="G64" s="153">
        <v>27914.642</v>
      </c>
      <c r="H64" s="153">
        <v>251231.77799999999</v>
      </c>
      <c r="I64" s="153"/>
      <c r="J64" s="155">
        <f t="shared" si="13"/>
        <v>279146.42</v>
      </c>
      <c r="K64" s="155">
        <f t="shared" si="14"/>
        <v>27914.642</v>
      </c>
      <c r="L64" s="155">
        <f t="shared" si="11"/>
        <v>-52673.87132432434</v>
      </c>
      <c r="M64" s="155">
        <f t="shared" si="11"/>
        <v>-11366.27027027027</v>
      </c>
      <c r="N64" s="155">
        <f t="shared" si="15"/>
        <v>-36125.499594594614</v>
      </c>
      <c r="O64" s="156">
        <f t="shared" si="16"/>
        <v>0</v>
      </c>
      <c r="P64" s="157">
        <f t="shared" si="12"/>
        <v>-0.17332310683080274</v>
      </c>
      <c r="Q64" s="157">
        <f t="shared" si="12"/>
        <v>-1</v>
      </c>
      <c r="R64" s="158">
        <f t="shared" si="12"/>
        <v>-0.11458521152485789</v>
      </c>
    </row>
    <row r="65" spans="2:18" x14ac:dyDescent="0.25">
      <c r="B65" s="152" t="s">
        <v>95</v>
      </c>
      <c r="D65" s="154">
        <v>59812.5</v>
      </c>
      <c r="E65" s="142">
        <v>107314.20000000001</v>
      </c>
      <c r="F65" s="153">
        <v>167126.70000000001</v>
      </c>
      <c r="G65" s="153">
        <v>14994.682000000001</v>
      </c>
      <c r="H65" s="153">
        <v>134952.13800000001</v>
      </c>
      <c r="I65" s="153"/>
      <c r="J65" s="155">
        <f t="shared" si="13"/>
        <v>149946.82</v>
      </c>
      <c r="K65" s="155">
        <f t="shared" si="14"/>
        <v>14994.682000000001</v>
      </c>
      <c r="L65" s="155">
        <f t="shared" si="11"/>
        <v>75139.638000000006</v>
      </c>
      <c r="M65" s="155">
        <f t="shared" si="11"/>
        <v>-107314.20000000001</v>
      </c>
      <c r="N65" s="155">
        <f t="shared" si="15"/>
        <v>-17179.880000000005</v>
      </c>
      <c r="O65" s="156">
        <f t="shared" si="16"/>
        <v>0</v>
      </c>
      <c r="P65" s="157">
        <f t="shared" si="12"/>
        <v>1.256253090909091</v>
      </c>
      <c r="Q65" s="157">
        <f t="shared" si="12"/>
        <v>-1</v>
      </c>
      <c r="R65" s="158">
        <f t="shared" si="12"/>
        <v>-0.1027955437401684</v>
      </c>
    </row>
    <row r="66" spans="2:18" x14ac:dyDescent="0.25">
      <c r="B66" s="152" t="s">
        <v>96</v>
      </c>
      <c r="D66" s="159">
        <v>28800</v>
      </c>
      <c r="E66" s="142"/>
      <c r="F66" s="153">
        <v>28800</v>
      </c>
      <c r="G66" s="153">
        <v>29592</v>
      </c>
      <c r="H66" s="153">
        <v>332988.70500000007</v>
      </c>
      <c r="I66" s="153"/>
      <c r="J66" s="155">
        <f t="shared" si="13"/>
        <v>362580.70500000007</v>
      </c>
      <c r="K66" s="155">
        <f t="shared" si="14"/>
        <v>29592</v>
      </c>
      <c r="L66" s="155">
        <f t="shared" si="11"/>
        <v>304188.70500000007</v>
      </c>
      <c r="M66" s="155">
        <f>+I66-E66</f>
        <v>0</v>
      </c>
      <c r="N66" s="155">
        <f t="shared" si="15"/>
        <v>333780.70500000007</v>
      </c>
      <c r="O66" s="156">
        <f t="shared" si="16"/>
        <v>0</v>
      </c>
      <c r="P66" s="157">
        <f t="shared" si="12"/>
        <v>10.562107812500003</v>
      </c>
      <c r="Q66" s="157">
        <f t="shared" si="12"/>
        <v>0</v>
      </c>
      <c r="R66" s="158">
        <f t="shared" si="12"/>
        <v>11.589607812500002</v>
      </c>
    </row>
    <row r="67" spans="2:18" x14ac:dyDescent="0.25">
      <c r="B67" s="152" t="s">
        <v>97</v>
      </c>
      <c r="D67" s="159"/>
      <c r="E67" s="142">
        <v>7696</v>
      </c>
      <c r="F67" s="153">
        <v>7696</v>
      </c>
      <c r="G67" s="153">
        <v>0</v>
      </c>
      <c r="H67" s="153">
        <v>0</v>
      </c>
      <c r="I67" s="153"/>
      <c r="J67" s="155">
        <f t="shared" si="13"/>
        <v>0</v>
      </c>
      <c r="K67" s="155">
        <f t="shared" si="14"/>
        <v>0</v>
      </c>
      <c r="L67" s="155">
        <f t="shared" si="11"/>
        <v>0</v>
      </c>
      <c r="M67" s="155">
        <f t="shared" si="11"/>
        <v>-7696</v>
      </c>
      <c r="N67" s="155">
        <f t="shared" si="15"/>
        <v>-7696</v>
      </c>
      <c r="O67" s="156">
        <f t="shared" si="16"/>
        <v>0</v>
      </c>
      <c r="P67" s="157">
        <f t="shared" si="12"/>
        <v>0</v>
      </c>
      <c r="Q67" s="157">
        <f t="shared" si="12"/>
        <v>-1</v>
      </c>
      <c r="R67" s="158">
        <f t="shared" si="12"/>
        <v>-1</v>
      </c>
    </row>
    <row r="68" spans="2:18" x14ac:dyDescent="0.25">
      <c r="B68" s="152" t="s">
        <v>98</v>
      </c>
      <c r="E68" s="154">
        <v>31689.37837837838</v>
      </c>
      <c r="F68" s="153">
        <v>31689.37837837838</v>
      </c>
      <c r="G68" s="153">
        <v>0</v>
      </c>
      <c r="H68" s="153">
        <v>0</v>
      </c>
      <c r="I68" s="153"/>
      <c r="J68" s="155">
        <f t="shared" si="13"/>
        <v>0</v>
      </c>
      <c r="K68" s="155">
        <f t="shared" si="14"/>
        <v>0</v>
      </c>
      <c r="L68" s="155">
        <f t="shared" si="11"/>
        <v>0</v>
      </c>
      <c r="M68" s="155">
        <f t="shared" si="11"/>
        <v>-31689.37837837838</v>
      </c>
      <c r="N68" s="155">
        <f t="shared" si="15"/>
        <v>-31689.37837837838</v>
      </c>
      <c r="O68" s="156">
        <f t="shared" si="16"/>
        <v>0</v>
      </c>
      <c r="P68" s="157">
        <f t="shared" si="12"/>
        <v>0</v>
      </c>
      <c r="Q68" s="157">
        <f t="shared" si="12"/>
        <v>-1</v>
      </c>
      <c r="R68" s="158">
        <f t="shared" si="12"/>
        <v>-1</v>
      </c>
    </row>
    <row r="69" spans="2:18" x14ac:dyDescent="0.25">
      <c r="B69" s="152" t="s">
        <v>99</v>
      </c>
      <c r="C69" s="154"/>
      <c r="D69" s="154"/>
      <c r="E69" s="142">
        <v>5837.8378378378375</v>
      </c>
      <c r="F69" s="153">
        <v>5837.8378378378375</v>
      </c>
      <c r="G69" s="153">
        <v>605.18700000000001</v>
      </c>
      <c r="H69" s="153">
        <v>5446.683</v>
      </c>
      <c r="I69" s="153"/>
      <c r="J69" s="155">
        <f t="shared" si="13"/>
        <v>6051.87</v>
      </c>
      <c r="K69" s="155">
        <f t="shared" si="14"/>
        <v>605.18700000000001</v>
      </c>
      <c r="L69" s="155">
        <f t="shared" si="11"/>
        <v>5446.683</v>
      </c>
      <c r="M69" s="155">
        <f t="shared" si="11"/>
        <v>-5837.8378378378375</v>
      </c>
      <c r="N69" s="155">
        <f t="shared" si="15"/>
        <v>214.03216216216242</v>
      </c>
      <c r="O69" s="156">
        <f t="shared" si="16"/>
        <v>0</v>
      </c>
      <c r="P69" s="157">
        <f t="shared" si="12"/>
        <v>0</v>
      </c>
      <c r="Q69" s="157">
        <f t="shared" si="12"/>
        <v>-1</v>
      </c>
      <c r="R69" s="158">
        <f t="shared" si="12"/>
        <v>3.6662916666666712E-2</v>
      </c>
    </row>
    <row r="70" spans="2:18" x14ac:dyDescent="0.25">
      <c r="B70" s="152" t="s">
        <v>100</v>
      </c>
      <c r="C70" s="154"/>
      <c r="D70" s="154"/>
      <c r="E70" s="142">
        <v>12480</v>
      </c>
      <c r="F70" s="153">
        <v>12480</v>
      </c>
      <c r="G70" s="153">
        <v>363.072</v>
      </c>
      <c r="H70" s="153">
        <v>3267.6479999999997</v>
      </c>
      <c r="I70" s="153"/>
      <c r="J70" s="155">
        <f t="shared" si="13"/>
        <v>3630.72</v>
      </c>
      <c r="K70" s="155">
        <f t="shared" si="14"/>
        <v>363.072</v>
      </c>
      <c r="L70" s="155">
        <f t="shared" si="11"/>
        <v>3267.6479999999997</v>
      </c>
      <c r="M70" s="155">
        <f t="shared" si="11"/>
        <v>-12480</v>
      </c>
      <c r="N70" s="155">
        <f t="shared" si="15"/>
        <v>-8849.2800000000007</v>
      </c>
      <c r="O70" s="156">
        <f t="shared" si="16"/>
        <v>0</v>
      </c>
      <c r="P70" s="157">
        <f t="shared" si="12"/>
        <v>0</v>
      </c>
      <c r="Q70" s="157">
        <f t="shared" si="12"/>
        <v>-1</v>
      </c>
      <c r="R70" s="158">
        <f t="shared" si="12"/>
        <v>-0.70907692307692316</v>
      </c>
    </row>
    <row r="71" spans="2:18" x14ac:dyDescent="0.25">
      <c r="B71" s="152" t="s">
        <v>101</v>
      </c>
      <c r="C71" s="154"/>
      <c r="D71" s="154"/>
      <c r="E71" s="142"/>
      <c r="F71" s="153"/>
      <c r="G71" s="153">
        <v>10000</v>
      </c>
      <c r="H71" s="153">
        <v>754184</v>
      </c>
      <c r="I71" s="153">
        <v>141318</v>
      </c>
      <c r="J71" s="155">
        <f t="shared" si="13"/>
        <v>905502</v>
      </c>
      <c r="K71" s="155">
        <f t="shared" si="14"/>
        <v>10000</v>
      </c>
      <c r="L71" s="155">
        <f t="shared" si="11"/>
        <v>754184</v>
      </c>
      <c r="M71" s="155">
        <f t="shared" si="11"/>
        <v>141318</v>
      </c>
      <c r="N71" s="155">
        <f t="shared" si="15"/>
        <v>905502</v>
      </c>
      <c r="O71" s="156">
        <f t="shared" si="16"/>
        <v>0</v>
      </c>
      <c r="P71" s="157">
        <f t="shared" si="12"/>
        <v>0</v>
      </c>
      <c r="Q71" s="157">
        <f t="shared" si="12"/>
        <v>0</v>
      </c>
      <c r="R71" s="158">
        <f t="shared" si="12"/>
        <v>0</v>
      </c>
    </row>
    <row r="72" spans="2:18" x14ac:dyDescent="0.25">
      <c r="B72" s="152" t="s">
        <v>102</v>
      </c>
      <c r="C72" s="154"/>
      <c r="D72" s="154"/>
      <c r="E72" s="142"/>
      <c r="F72" s="153"/>
      <c r="G72" s="153">
        <v>5000</v>
      </c>
      <c r="H72" s="153">
        <v>231458.16599999994</v>
      </c>
      <c r="I72" s="153"/>
      <c r="J72" s="155">
        <f t="shared" si="13"/>
        <v>236458.16599999994</v>
      </c>
      <c r="K72" s="155">
        <f t="shared" si="14"/>
        <v>5000</v>
      </c>
      <c r="L72" s="155">
        <f t="shared" si="11"/>
        <v>231458.16599999994</v>
      </c>
      <c r="M72" s="155">
        <f t="shared" si="11"/>
        <v>0</v>
      </c>
      <c r="N72" s="155">
        <f t="shared" si="15"/>
        <v>236458.16599999994</v>
      </c>
      <c r="O72" s="156">
        <f t="shared" si="16"/>
        <v>0</v>
      </c>
      <c r="P72" s="157">
        <f t="shared" si="12"/>
        <v>0</v>
      </c>
      <c r="Q72" s="157">
        <f t="shared" si="12"/>
        <v>0</v>
      </c>
      <c r="R72" s="158">
        <f t="shared" si="12"/>
        <v>0</v>
      </c>
    </row>
    <row r="73" spans="2:18" x14ac:dyDescent="0.25">
      <c r="B73" s="152" t="s">
        <v>103</v>
      </c>
      <c r="C73" s="154"/>
      <c r="D73" s="154"/>
      <c r="E73" s="142"/>
      <c r="F73" s="153"/>
      <c r="G73" s="153">
        <v>2000</v>
      </c>
      <c r="H73" s="153">
        <v>189028.37700000001</v>
      </c>
      <c r="I73" s="153"/>
      <c r="J73" s="155">
        <f t="shared" si="13"/>
        <v>191028.37700000001</v>
      </c>
      <c r="K73" s="155">
        <f t="shared" si="14"/>
        <v>2000</v>
      </c>
      <c r="L73" s="155">
        <f t="shared" si="11"/>
        <v>189028.37700000001</v>
      </c>
      <c r="M73" s="155">
        <f t="shared" si="11"/>
        <v>0</v>
      </c>
      <c r="N73" s="155">
        <f t="shared" si="15"/>
        <v>191028.37700000001</v>
      </c>
      <c r="O73" s="156">
        <f t="shared" si="16"/>
        <v>0</v>
      </c>
      <c r="P73" s="157">
        <f t="shared" si="12"/>
        <v>0</v>
      </c>
      <c r="Q73" s="157">
        <f t="shared" si="12"/>
        <v>0</v>
      </c>
      <c r="R73" s="158">
        <f t="shared" si="12"/>
        <v>0</v>
      </c>
    </row>
    <row r="74" spans="2:18" x14ac:dyDescent="0.25">
      <c r="B74" s="152" t="s">
        <v>104</v>
      </c>
      <c r="C74" s="154"/>
      <c r="D74" s="154"/>
      <c r="E74" s="142"/>
      <c r="F74" s="153"/>
      <c r="G74" s="153">
        <v>1000</v>
      </c>
      <c r="H74" s="153">
        <v>52726.850999998831</v>
      </c>
      <c r="I74" s="153"/>
      <c r="J74" s="155">
        <f t="shared" si="13"/>
        <v>53726.850999998831</v>
      </c>
      <c r="K74" s="155">
        <f t="shared" si="14"/>
        <v>1000</v>
      </c>
      <c r="L74" s="155">
        <f t="shared" si="11"/>
        <v>52726.850999998831</v>
      </c>
      <c r="M74" s="155">
        <f t="shared" si="11"/>
        <v>0</v>
      </c>
      <c r="N74" s="155">
        <f t="shared" si="15"/>
        <v>53726.850999998831</v>
      </c>
      <c r="O74" s="156">
        <f t="shared" si="16"/>
        <v>0</v>
      </c>
      <c r="P74" s="157">
        <f t="shared" si="12"/>
        <v>0</v>
      </c>
      <c r="Q74" s="157">
        <f t="shared" si="12"/>
        <v>0</v>
      </c>
      <c r="R74" s="158">
        <f t="shared" si="12"/>
        <v>0</v>
      </c>
    </row>
    <row r="75" spans="2:18" ht="13" thickBot="1" x14ac:dyDescent="0.3">
      <c r="B75" s="160" t="s">
        <v>82</v>
      </c>
      <c r="C75" s="161">
        <f>SUM(C55:C70)</f>
        <v>782017.40191931068</v>
      </c>
      <c r="D75" s="161">
        <f t="shared" ref="D75:F75" si="17">SUM(D55:D70)</f>
        <v>5280236.6979729729</v>
      </c>
      <c r="E75" s="161">
        <f t="shared" si="17"/>
        <v>497724.22702702705</v>
      </c>
      <c r="F75" s="161">
        <f t="shared" si="17"/>
        <v>6559978.3269193098</v>
      </c>
      <c r="G75" s="161">
        <f t="shared" ref="G75:I75" si="18">SUM(G55:G74)</f>
        <v>864919.82499999995</v>
      </c>
      <c r="H75" s="161">
        <f t="shared" si="18"/>
        <v>5175200.3669999996</v>
      </c>
      <c r="I75" s="161">
        <f t="shared" si="18"/>
        <v>1026677.495</v>
      </c>
      <c r="J75" s="161">
        <f>SUM(J55:J74)</f>
        <v>7066797.686999999</v>
      </c>
      <c r="K75" s="161">
        <f t="shared" ref="K75:R75" si="19">SUM(K55:K74)</f>
        <v>82902.423080689216</v>
      </c>
      <c r="L75" s="161">
        <f t="shared" si="19"/>
        <v>-105036.33097297407</v>
      </c>
      <c r="M75" s="161">
        <f t="shared" si="19"/>
        <v>528953.26797297294</v>
      </c>
      <c r="N75" s="161">
        <f t="shared" si="19"/>
        <v>506819.36008068791</v>
      </c>
      <c r="O75" s="166">
        <f t="shared" si="19"/>
        <v>0.11037583709860788</v>
      </c>
      <c r="P75" s="162">
        <f t="shared" si="19"/>
        <v>9.1585449204097529</v>
      </c>
      <c r="Q75" s="162">
        <f t="shared" si="19"/>
        <v>-4.2447936587437756</v>
      </c>
      <c r="R75" s="167">
        <f t="shared" si="19"/>
        <v>7.0513823555812278</v>
      </c>
    </row>
  </sheetData>
  <mergeCells count="14">
    <mergeCell ref="B13:R13"/>
    <mergeCell ref="B14:B15"/>
    <mergeCell ref="C14:F14"/>
    <mergeCell ref="G14:J14"/>
    <mergeCell ref="K14:N14"/>
    <mergeCell ref="O14:R14"/>
    <mergeCell ref="B3:I3"/>
    <mergeCell ref="B42:F42"/>
    <mergeCell ref="B52:R52"/>
    <mergeCell ref="B53:B54"/>
    <mergeCell ref="C53:F53"/>
    <mergeCell ref="G53:J53"/>
    <mergeCell ref="K53:N53"/>
    <mergeCell ref="O53:R5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EB9C6-CD6D-4FBE-A6CF-779F8D0129D5}">
  <sheetPr>
    <outlinePr summaryBelow="0"/>
  </sheetPr>
  <dimension ref="A1:Z418"/>
  <sheetViews>
    <sheetView zoomScale="70" zoomScaleNormal="70" workbookViewId="0">
      <pane xSplit="3" ySplit="2" topLeftCell="D239" activePane="bottomRight" state="frozen"/>
      <selection pane="topRight" activeCell="D1" sqref="D1"/>
      <selection pane="bottomLeft" activeCell="A3" sqref="A3"/>
      <selection pane="bottomRight" activeCell="D261" sqref="D261"/>
    </sheetView>
  </sheetViews>
  <sheetFormatPr baseColWidth="10" defaultRowHeight="14.5" x14ac:dyDescent="0.35"/>
  <cols>
    <col min="1" max="1" width="10" customWidth="1"/>
    <col min="2" max="2" width="14" customWidth="1"/>
    <col min="3" max="3" width="20.6328125" customWidth="1"/>
    <col min="4" max="4" width="9.54296875" customWidth="1"/>
    <col min="5" max="5" width="22.90625" customWidth="1"/>
    <col min="6" max="6" width="14.36328125" style="1" customWidth="1"/>
    <col min="7" max="26" width="11.08984375" style="1" customWidth="1"/>
  </cols>
  <sheetData>
    <row r="1" spans="1:26" x14ac:dyDescent="0.35">
      <c r="A1" t="s">
        <v>107</v>
      </c>
      <c r="B1" s="207" t="s">
        <v>108</v>
      </c>
      <c r="C1" s="207"/>
      <c r="D1" s="207" t="s">
        <v>109</v>
      </c>
      <c r="E1" s="207"/>
      <c r="F1" s="208" t="s">
        <v>110</v>
      </c>
      <c r="G1" s="208"/>
      <c r="H1" s="208"/>
      <c r="I1" s="208" t="s">
        <v>111</v>
      </c>
      <c r="J1" s="208"/>
      <c r="K1" s="208"/>
      <c r="L1" s="208" t="s">
        <v>112</v>
      </c>
      <c r="M1" s="208"/>
      <c r="N1" s="208"/>
      <c r="O1" s="208" t="s">
        <v>113</v>
      </c>
      <c r="P1" s="208"/>
      <c r="Q1" s="208"/>
      <c r="R1" s="208" t="s">
        <v>114</v>
      </c>
      <c r="S1" s="208"/>
      <c r="T1" s="208"/>
      <c r="U1" s="208" t="s">
        <v>115</v>
      </c>
      <c r="V1" s="208"/>
      <c r="W1" s="208"/>
      <c r="X1" s="208" t="s">
        <v>116</v>
      </c>
      <c r="Y1" s="208"/>
      <c r="Z1" s="208"/>
    </row>
    <row r="2" spans="1:26" ht="43.5" x14ac:dyDescent="0.35">
      <c r="A2" t="s">
        <v>117</v>
      </c>
      <c r="B2" t="s">
        <v>118</v>
      </c>
      <c r="C2" t="s">
        <v>119</v>
      </c>
      <c r="D2" t="s">
        <v>118</v>
      </c>
      <c r="E2" t="s">
        <v>119</v>
      </c>
      <c r="F2" s="1" t="s">
        <v>120</v>
      </c>
      <c r="G2" s="209" t="s">
        <v>121</v>
      </c>
      <c r="H2" s="1" t="s">
        <v>122</v>
      </c>
      <c r="I2" s="1" t="s">
        <v>120</v>
      </c>
      <c r="J2" s="1" t="s">
        <v>121</v>
      </c>
      <c r="K2" s="1" t="s">
        <v>122</v>
      </c>
      <c r="L2" s="209" t="s">
        <v>120</v>
      </c>
      <c r="M2" s="1" t="s">
        <v>121</v>
      </c>
      <c r="N2" s="1" t="s">
        <v>122</v>
      </c>
      <c r="O2" s="1" t="s">
        <v>120</v>
      </c>
      <c r="P2" s="1" t="s">
        <v>121</v>
      </c>
      <c r="Q2" s="1" t="s">
        <v>122</v>
      </c>
      <c r="R2" s="1" t="s">
        <v>120</v>
      </c>
      <c r="S2" s="1" t="s">
        <v>121</v>
      </c>
      <c r="T2" s="1" t="s">
        <v>122</v>
      </c>
      <c r="U2" s="1" t="s">
        <v>120</v>
      </c>
      <c r="V2" s="1" t="s">
        <v>121</v>
      </c>
      <c r="W2" s="1" t="s">
        <v>122</v>
      </c>
      <c r="X2" s="1" t="s">
        <v>120</v>
      </c>
      <c r="Y2" s="1" t="s">
        <v>121</v>
      </c>
      <c r="Z2" s="1" t="s">
        <v>122</v>
      </c>
    </row>
    <row r="3" spans="1:26" x14ac:dyDescent="0.35">
      <c r="A3">
        <v>1</v>
      </c>
      <c r="B3">
        <v>1101</v>
      </c>
      <c r="C3" t="s">
        <v>123</v>
      </c>
      <c r="D3">
        <v>911311</v>
      </c>
      <c r="E3" t="s">
        <v>124</v>
      </c>
      <c r="F3" s="1">
        <v>0</v>
      </c>
      <c r="G3" s="1">
        <v>0</v>
      </c>
      <c r="H3" s="1">
        <v>0</v>
      </c>
      <c r="I3" s="1">
        <v>0</v>
      </c>
      <c r="J3" s="1">
        <v>7.68</v>
      </c>
      <c r="K3" s="1">
        <v>7.68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7.68</v>
      </c>
      <c r="Z3" s="1">
        <v>0</v>
      </c>
    </row>
    <row r="4" spans="1:26" x14ac:dyDescent="0.35">
      <c r="A4">
        <v>2</v>
      </c>
      <c r="B4">
        <v>1101</v>
      </c>
      <c r="C4" t="s">
        <v>123</v>
      </c>
      <c r="D4">
        <v>913112</v>
      </c>
      <c r="E4" t="s">
        <v>125</v>
      </c>
      <c r="F4" s="1">
        <v>0</v>
      </c>
      <c r="G4" s="1">
        <v>0</v>
      </c>
      <c r="H4" s="1">
        <v>0</v>
      </c>
      <c r="I4" s="1">
        <v>0</v>
      </c>
      <c r="J4" s="1">
        <v>3300</v>
      </c>
      <c r="K4" s="1">
        <v>3300</v>
      </c>
      <c r="L4" s="1">
        <v>0</v>
      </c>
      <c r="M4" s="1">
        <v>3613.13</v>
      </c>
      <c r="N4" s="1">
        <v>3613.13</v>
      </c>
      <c r="O4" s="1">
        <v>0</v>
      </c>
      <c r="P4" s="1">
        <v>2015</v>
      </c>
      <c r="Q4" s="1">
        <v>2015</v>
      </c>
      <c r="R4" s="1">
        <v>0</v>
      </c>
      <c r="S4" s="1">
        <v>2674.09</v>
      </c>
      <c r="T4" s="1">
        <v>2674.09</v>
      </c>
      <c r="U4" s="1">
        <v>0</v>
      </c>
      <c r="V4" s="1">
        <v>0</v>
      </c>
      <c r="W4" s="1">
        <v>0</v>
      </c>
      <c r="X4" s="1">
        <v>0</v>
      </c>
      <c r="Y4" s="1">
        <v>11602.22</v>
      </c>
      <c r="Z4" s="1">
        <v>0</v>
      </c>
    </row>
    <row r="5" spans="1:26" x14ac:dyDescent="0.35">
      <c r="A5">
        <v>3</v>
      </c>
      <c r="B5">
        <v>1101</v>
      </c>
      <c r="C5" t="s">
        <v>123</v>
      </c>
      <c r="D5">
        <v>913531</v>
      </c>
      <c r="E5" t="s">
        <v>126</v>
      </c>
      <c r="F5" s="1">
        <v>0</v>
      </c>
      <c r="G5" s="1">
        <v>0</v>
      </c>
      <c r="H5" s="1">
        <v>0</v>
      </c>
      <c r="I5" s="1">
        <v>0</v>
      </c>
      <c r="J5" s="1">
        <v>2643.5</v>
      </c>
      <c r="K5" s="1">
        <v>2643.5</v>
      </c>
      <c r="L5" s="1">
        <v>0</v>
      </c>
      <c r="M5" s="1">
        <v>1013.04</v>
      </c>
      <c r="N5" s="1">
        <v>1013.04</v>
      </c>
      <c r="O5" s="1">
        <v>0</v>
      </c>
      <c r="P5" s="1">
        <v>4682.8900000000003</v>
      </c>
      <c r="Q5" s="1">
        <v>4682.8900000000003</v>
      </c>
      <c r="R5" s="1">
        <v>0</v>
      </c>
      <c r="S5" s="1">
        <v>6216.26</v>
      </c>
      <c r="T5" s="1">
        <v>6216.26</v>
      </c>
      <c r="U5" s="1">
        <v>0</v>
      </c>
      <c r="V5" s="1">
        <v>2416.02</v>
      </c>
      <c r="W5" s="1">
        <v>2416.02</v>
      </c>
      <c r="X5" s="1">
        <v>0</v>
      </c>
      <c r="Y5" s="1">
        <v>16971.71</v>
      </c>
      <c r="Z5" s="1">
        <v>0</v>
      </c>
    </row>
    <row r="6" spans="1:26" x14ac:dyDescent="0.35">
      <c r="A6">
        <v>4</v>
      </c>
      <c r="B6">
        <v>1101</v>
      </c>
      <c r="C6" t="s">
        <v>123</v>
      </c>
      <c r="D6">
        <v>913561</v>
      </c>
      <c r="E6" t="s">
        <v>127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</row>
    <row r="7" spans="1:26" x14ac:dyDescent="0.35">
      <c r="A7">
        <v>5</v>
      </c>
      <c r="B7">
        <v>1101</v>
      </c>
      <c r="C7" t="s">
        <v>123</v>
      </c>
      <c r="D7">
        <v>913631</v>
      </c>
      <c r="E7" t="s">
        <v>89</v>
      </c>
      <c r="F7" s="1">
        <v>0</v>
      </c>
      <c r="G7" s="1">
        <v>0</v>
      </c>
      <c r="H7" s="1">
        <v>0</v>
      </c>
      <c r="I7" s="1">
        <v>0</v>
      </c>
      <c r="J7" s="1">
        <v>1034.1300000000001</v>
      </c>
      <c r="K7" s="1">
        <v>1034.1300000000001</v>
      </c>
      <c r="L7" s="1">
        <v>0</v>
      </c>
      <c r="M7" s="1">
        <v>13319.82</v>
      </c>
      <c r="N7" s="1">
        <v>13319.82</v>
      </c>
      <c r="O7" s="1">
        <v>0</v>
      </c>
      <c r="P7" s="1">
        <v>14721.72</v>
      </c>
      <c r="Q7" s="1">
        <v>14721.72</v>
      </c>
      <c r="R7" s="1">
        <v>0</v>
      </c>
      <c r="S7" s="1">
        <v>9734.99</v>
      </c>
      <c r="T7" s="1">
        <v>9734.99</v>
      </c>
      <c r="U7" s="1">
        <v>0</v>
      </c>
      <c r="V7" s="1">
        <v>3052.62</v>
      </c>
      <c r="W7" s="1">
        <v>3052.62</v>
      </c>
      <c r="X7" s="1">
        <v>0</v>
      </c>
      <c r="Y7" s="1">
        <v>41863.279999999999</v>
      </c>
      <c r="Z7" s="1">
        <v>0</v>
      </c>
    </row>
    <row r="8" spans="1:26" x14ac:dyDescent="0.35">
      <c r="A8">
        <v>6</v>
      </c>
      <c r="B8">
        <v>1101</v>
      </c>
      <c r="C8" t="s">
        <v>123</v>
      </c>
      <c r="D8">
        <v>911312</v>
      </c>
      <c r="E8" t="s">
        <v>128</v>
      </c>
      <c r="F8" s="1">
        <v>0</v>
      </c>
      <c r="G8" s="1">
        <v>0</v>
      </c>
      <c r="H8" s="1">
        <v>0</v>
      </c>
      <c r="I8" s="1">
        <v>0</v>
      </c>
      <c r="J8" s="1">
        <v>37599.18</v>
      </c>
      <c r="K8" s="1">
        <v>37599.18</v>
      </c>
      <c r="L8" s="1">
        <v>0</v>
      </c>
      <c r="M8" s="1">
        <v>306322.71000000002</v>
      </c>
      <c r="N8" s="1">
        <v>306322.71000000002</v>
      </c>
      <c r="O8" s="1">
        <v>0</v>
      </c>
      <c r="P8" s="1">
        <v>230117.94</v>
      </c>
      <c r="Q8" s="1">
        <v>230117.94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574039.82999999996</v>
      </c>
      <c r="Z8" s="1">
        <v>0</v>
      </c>
    </row>
    <row r="9" spans="1:26" x14ac:dyDescent="0.35">
      <c r="A9">
        <v>7</v>
      </c>
      <c r="B9">
        <v>1101</v>
      </c>
      <c r="C9" t="s">
        <v>123</v>
      </c>
      <c r="D9">
        <v>911314</v>
      </c>
      <c r="E9" t="s">
        <v>129</v>
      </c>
      <c r="F9" s="1">
        <v>0</v>
      </c>
      <c r="G9" s="1">
        <v>0</v>
      </c>
      <c r="H9" s="1">
        <v>0</v>
      </c>
      <c r="I9" s="1">
        <v>0</v>
      </c>
      <c r="J9" s="1">
        <v>746.87</v>
      </c>
      <c r="K9" s="1">
        <v>746.87</v>
      </c>
      <c r="L9" s="1">
        <v>0</v>
      </c>
      <c r="M9" s="1">
        <v>5114.08</v>
      </c>
      <c r="N9" s="1">
        <v>5114.08</v>
      </c>
      <c r="O9" s="1">
        <v>0</v>
      </c>
      <c r="P9" s="1">
        <v>12631.7</v>
      </c>
      <c r="Q9" s="1">
        <v>12631.7</v>
      </c>
      <c r="R9" s="1">
        <v>0</v>
      </c>
      <c r="S9" s="1">
        <v>11782.63</v>
      </c>
      <c r="T9" s="1">
        <v>11782.63</v>
      </c>
      <c r="U9" s="1">
        <v>0</v>
      </c>
      <c r="V9" s="1">
        <v>7340.76</v>
      </c>
      <c r="W9" s="1">
        <v>7340.76</v>
      </c>
      <c r="X9" s="1">
        <v>0</v>
      </c>
      <c r="Y9" s="1">
        <v>37616.04</v>
      </c>
      <c r="Z9" s="1">
        <v>0</v>
      </c>
    </row>
    <row r="10" spans="1:26" x14ac:dyDescent="0.35">
      <c r="A10">
        <v>8</v>
      </c>
      <c r="B10">
        <v>1101</v>
      </c>
      <c r="C10" t="s">
        <v>123</v>
      </c>
      <c r="D10">
        <v>911315</v>
      </c>
      <c r="E10" t="s">
        <v>130</v>
      </c>
      <c r="F10" s="1">
        <v>0</v>
      </c>
      <c r="G10" s="1">
        <v>0</v>
      </c>
      <c r="H10" s="1">
        <v>0</v>
      </c>
      <c r="I10" s="1">
        <v>0</v>
      </c>
      <c r="J10" s="1">
        <v>469.71</v>
      </c>
      <c r="K10" s="1">
        <v>469.71</v>
      </c>
      <c r="L10" s="1">
        <v>0</v>
      </c>
      <c r="M10" s="1">
        <v>3995.4</v>
      </c>
      <c r="N10" s="1">
        <v>3995.4</v>
      </c>
      <c r="O10" s="1">
        <v>0</v>
      </c>
      <c r="P10" s="1">
        <v>7331.66</v>
      </c>
      <c r="Q10" s="1">
        <v>7331.66</v>
      </c>
      <c r="R10" s="1">
        <v>0</v>
      </c>
      <c r="S10" s="1">
        <v>9039.31</v>
      </c>
      <c r="T10" s="1">
        <v>9039.31</v>
      </c>
      <c r="U10" s="1">
        <v>0</v>
      </c>
      <c r="V10" s="1">
        <v>6409.46</v>
      </c>
      <c r="W10" s="1">
        <v>6409.46</v>
      </c>
      <c r="X10" s="1">
        <v>0</v>
      </c>
      <c r="Y10" s="1">
        <v>27245.54</v>
      </c>
      <c r="Z10" s="1">
        <v>0</v>
      </c>
    </row>
    <row r="11" spans="1:26" x14ac:dyDescent="0.35">
      <c r="A11">
        <v>9</v>
      </c>
      <c r="B11">
        <v>1101</v>
      </c>
      <c r="C11" t="s">
        <v>123</v>
      </c>
      <c r="D11">
        <v>911316</v>
      </c>
      <c r="E11" t="s">
        <v>131</v>
      </c>
      <c r="F11" s="1">
        <v>0</v>
      </c>
      <c r="G11" s="1">
        <v>0</v>
      </c>
      <c r="H11" s="1">
        <v>0</v>
      </c>
      <c r="I11" s="1">
        <v>0</v>
      </c>
      <c r="J11" s="1">
        <v>14932.89</v>
      </c>
      <c r="K11" s="1">
        <v>14932.89</v>
      </c>
      <c r="L11" s="1">
        <v>0</v>
      </c>
      <c r="M11" s="1">
        <v>12728.44</v>
      </c>
      <c r="N11" s="1">
        <v>12728.44</v>
      </c>
      <c r="O11" s="1">
        <v>0</v>
      </c>
      <c r="P11" s="1">
        <v>0</v>
      </c>
      <c r="Q11" s="1">
        <v>0</v>
      </c>
      <c r="R11" s="1">
        <v>0</v>
      </c>
      <c r="S11" s="1">
        <v>8530.08</v>
      </c>
      <c r="T11" s="1">
        <v>8530.08</v>
      </c>
      <c r="U11" s="1">
        <v>0</v>
      </c>
      <c r="V11" s="1">
        <v>0</v>
      </c>
      <c r="W11" s="1">
        <v>0</v>
      </c>
      <c r="X11" s="1">
        <v>0</v>
      </c>
      <c r="Y11" s="1">
        <v>36191.410000000003</v>
      </c>
      <c r="Z11" s="1">
        <v>0</v>
      </c>
    </row>
    <row r="12" spans="1:26" x14ac:dyDescent="0.35">
      <c r="A12">
        <v>10</v>
      </c>
      <c r="B12">
        <v>1101</v>
      </c>
      <c r="C12" t="s">
        <v>123</v>
      </c>
      <c r="D12">
        <v>911317</v>
      </c>
      <c r="E12" t="s">
        <v>132</v>
      </c>
      <c r="F12" s="1">
        <v>0</v>
      </c>
      <c r="G12" s="1">
        <v>0</v>
      </c>
      <c r="H12" s="1">
        <v>0</v>
      </c>
      <c r="I12" s="1">
        <v>0</v>
      </c>
      <c r="J12" s="1">
        <v>55048.95</v>
      </c>
      <c r="K12" s="1">
        <v>55048.95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55048.95</v>
      </c>
      <c r="Z12" s="1">
        <v>0</v>
      </c>
    </row>
    <row r="13" spans="1:26" x14ac:dyDescent="0.35">
      <c r="A13">
        <v>11</v>
      </c>
      <c r="B13">
        <v>1103</v>
      </c>
      <c r="C13" t="s">
        <v>133</v>
      </c>
      <c r="D13">
        <v>913112</v>
      </c>
      <c r="E13" t="s">
        <v>125</v>
      </c>
      <c r="F13" s="1">
        <v>0</v>
      </c>
      <c r="G13" s="1">
        <v>108.64</v>
      </c>
      <c r="H13" s="1">
        <v>108.64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157.30000000000001</v>
      </c>
      <c r="T13" s="1">
        <v>157.30000000000001</v>
      </c>
      <c r="U13" s="1">
        <v>0</v>
      </c>
      <c r="V13" s="1">
        <v>1940.35</v>
      </c>
      <c r="W13" s="1">
        <v>1940.35</v>
      </c>
      <c r="X13" s="1">
        <v>0</v>
      </c>
      <c r="Y13" s="1">
        <v>2206.29</v>
      </c>
      <c r="Z13" s="1">
        <v>108.64</v>
      </c>
    </row>
    <row r="14" spans="1:26" x14ac:dyDescent="0.35">
      <c r="A14">
        <v>12</v>
      </c>
      <c r="B14">
        <v>1103</v>
      </c>
      <c r="C14" t="s">
        <v>133</v>
      </c>
      <c r="D14">
        <v>913531</v>
      </c>
      <c r="E14" t="s">
        <v>126</v>
      </c>
      <c r="F14" s="1">
        <v>0</v>
      </c>
      <c r="G14" s="1">
        <v>458.28</v>
      </c>
      <c r="H14" s="1">
        <v>458.28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365.82</v>
      </c>
      <c r="W14" s="1">
        <v>365.82</v>
      </c>
      <c r="X14" s="1">
        <v>0</v>
      </c>
      <c r="Y14" s="1">
        <v>824.1</v>
      </c>
      <c r="Z14" s="1">
        <v>458.28</v>
      </c>
    </row>
    <row r="15" spans="1:26" x14ac:dyDescent="0.35">
      <c r="A15">
        <v>13</v>
      </c>
      <c r="B15">
        <v>1103</v>
      </c>
      <c r="C15" t="s">
        <v>133</v>
      </c>
      <c r="D15">
        <v>913561</v>
      </c>
      <c r="E15" t="s">
        <v>127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</row>
    <row r="16" spans="1:26" x14ac:dyDescent="0.35">
      <c r="A16">
        <v>14</v>
      </c>
      <c r="B16">
        <v>1103</v>
      </c>
      <c r="C16" t="s">
        <v>133</v>
      </c>
      <c r="D16">
        <v>913631</v>
      </c>
      <c r="E16" t="s">
        <v>89</v>
      </c>
      <c r="F16" s="1">
        <v>0</v>
      </c>
      <c r="G16" s="1">
        <v>391.9</v>
      </c>
      <c r="H16" s="1">
        <v>391.9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2835.46</v>
      </c>
      <c r="W16" s="1">
        <v>2835.46</v>
      </c>
      <c r="X16" s="1">
        <v>0</v>
      </c>
      <c r="Y16" s="1">
        <v>3227.36</v>
      </c>
      <c r="Z16" s="1">
        <v>391.9</v>
      </c>
    </row>
    <row r="17" spans="1:26" x14ac:dyDescent="0.35">
      <c r="A17">
        <v>15</v>
      </c>
      <c r="B17">
        <v>1103</v>
      </c>
      <c r="C17" t="s">
        <v>133</v>
      </c>
      <c r="D17">
        <v>911312</v>
      </c>
      <c r="E17" t="s">
        <v>128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205146.36</v>
      </c>
      <c r="W17" s="1">
        <v>205146.36</v>
      </c>
      <c r="X17" s="1">
        <v>0</v>
      </c>
      <c r="Y17" s="1">
        <v>205146.36</v>
      </c>
      <c r="Z17" s="1">
        <v>0</v>
      </c>
    </row>
    <row r="18" spans="1:26" x14ac:dyDescent="0.35">
      <c r="A18">
        <v>16</v>
      </c>
      <c r="B18">
        <v>1103</v>
      </c>
      <c r="C18" t="s">
        <v>133</v>
      </c>
      <c r="D18">
        <v>911314</v>
      </c>
      <c r="E18" t="s">
        <v>129</v>
      </c>
      <c r="F18" s="1">
        <v>0</v>
      </c>
      <c r="G18" s="1">
        <v>840.57</v>
      </c>
      <c r="H18" s="1">
        <v>840.57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1764.88</v>
      </c>
      <c r="W18" s="1">
        <v>1764.88</v>
      </c>
      <c r="X18" s="1">
        <v>0</v>
      </c>
      <c r="Y18" s="1">
        <v>2605.4499999999998</v>
      </c>
      <c r="Z18" s="1">
        <v>840.57</v>
      </c>
    </row>
    <row r="19" spans="1:26" x14ac:dyDescent="0.35">
      <c r="A19">
        <v>17</v>
      </c>
      <c r="B19">
        <v>1103</v>
      </c>
      <c r="C19" t="s">
        <v>133</v>
      </c>
      <c r="D19">
        <v>911315</v>
      </c>
      <c r="E19" t="s">
        <v>130</v>
      </c>
      <c r="F19" s="1">
        <v>0</v>
      </c>
      <c r="G19" s="1">
        <v>223.07</v>
      </c>
      <c r="H19" s="1">
        <v>223.07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1253.18</v>
      </c>
      <c r="W19" s="1">
        <v>1253.18</v>
      </c>
      <c r="X19" s="1">
        <v>0</v>
      </c>
      <c r="Y19" s="1">
        <v>1476.25</v>
      </c>
      <c r="Z19" s="1">
        <v>223.07</v>
      </c>
    </row>
    <row r="20" spans="1:26" x14ac:dyDescent="0.35">
      <c r="A20">
        <v>18</v>
      </c>
      <c r="B20">
        <v>1103</v>
      </c>
      <c r="C20" t="s">
        <v>133</v>
      </c>
      <c r="D20">
        <v>911316</v>
      </c>
      <c r="E20" t="s">
        <v>131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</row>
    <row r="21" spans="1:26" x14ac:dyDescent="0.35">
      <c r="A21">
        <v>19</v>
      </c>
      <c r="B21">
        <v>1103</v>
      </c>
      <c r="C21" t="s">
        <v>133</v>
      </c>
      <c r="D21">
        <v>913922</v>
      </c>
      <c r="E21" t="s">
        <v>134</v>
      </c>
      <c r="F21" s="1">
        <v>0</v>
      </c>
      <c r="G21" s="1">
        <v>58.5</v>
      </c>
      <c r="H21" s="1">
        <v>58.5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58.5</v>
      </c>
      <c r="Z21" s="1">
        <v>58.5</v>
      </c>
    </row>
    <row r="22" spans="1:26" x14ac:dyDescent="0.35">
      <c r="A22">
        <v>20</v>
      </c>
      <c r="B22">
        <v>1201</v>
      </c>
      <c r="C22" t="s">
        <v>135</v>
      </c>
      <c r="D22">
        <v>911311</v>
      </c>
      <c r="E22" t="s">
        <v>124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</row>
    <row r="23" spans="1:26" x14ac:dyDescent="0.35">
      <c r="A23">
        <v>21</v>
      </c>
      <c r="B23">
        <v>1201</v>
      </c>
      <c r="C23" t="s">
        <v>135</v>
      </c>
      <c r="D23">
        <v>911411</v>
      </c>
      <c r="E23" t="s">
        <v>136</v>
      </c>
      <c r="F23" s="1">
        <v>0</v>
      </c>
      <c r="G23" s="1">
        <v>18420.509999999998</v>
      </c>
      <c r="H23" s="1">
        <v>18420.509999999998</v>
      </c>
      <c r="I23" s="1">
        <v>0</v>
      </c>
      <c r="J23" s="1">
        <v>32681.55</v>
      </c>
      <c r="K23" s="1">
        <v>32681.55</v>
      </c>
      <c r="L23" s="1">
        <v>0</v>
      </c>
      <c r="M23" s="1">
        <v>1188.42</v>
      </c>
      <c r="N23" s="1">
        <v>1188.42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52290.48</v>
      </c>
      <c r="Z23" s="1">
        <v>18420.509999999998</v>
      </c>
    </row>
    <row r="24" spans="1:26" x14ac:dyDescent="0.35">
      <c r="A24">
        <v>22</v>
      </c>
      <c r="B24">
        <v>1201</v>
      </c>
      <c r="C24" t="s">
        <v>135</v>
      </c>
      <c r="D24">
        <v>912411</v>
      </c>
      <c r="E24" t="s">
        <v>137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</row>
    <row r="25" spans="1:26" x14ac:dyDescent="0.35">
      <c r="A25">
        <v>23</v>
      </c>
      <c r="B25">
        <v>1201</v>
      </c>
      <c r="C25" t="s">
        <v>135</v>
      </c>
      <c r="D25">
        <v>912511</v>
      </c>
      <c r="E25" t="s">
        <v>138</v>
      </c>
      <c r="F25" s="1">
        <v>0</v>
      </c>
      <c r="G25" s="1">
        <v>8916.5</v>
      </c>
      <c r="H25" s="1">
        <v>8916.5</v>
      </c>
      <c r="I25" s="1">
        <v>0</v>
      </c>
      <c r="J25" s="1">
        <v>8372.5</v>
      </c>
      <c r="K25" s="1">
        <v>8372.5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17289</v>
      </c>
      <c r="Z25" s="1">
        <v>8916.5</v>
      </c>
    </row>
    <row r="26" spans="1:26" x14ac:dyDescent="0.35">
      <c r="A26">
        <v>24</v>
      </c>
      <c r="B26">
        <v>1201</v>
      </c>
      <c r="C26" t="s">
        <v>135</v>
      </c>
      <c r="D26">
        <v>913112</v>
      </c>
      <c r="E26" t="s">
        <v>125</v>
      </c>
      <c r="F26" s="1">
        <v>0</v>
      </c>
      <c r="G26" s="1">
        <v>12928.33</v>
      </c>
      <c r="H26" s="1">
        <v>12928.33</v>
      </c>
      <c r="I26" s="1">
        <v>0</v>
      </c>
      <c r="J26" s="1">
        <v>7547.73</v>
      </c>
      <c r="K26" s="1">
        <v>7547.73</v>
      </c>
      <c r="L26" s="1">
        <v>0</v>
      </c>
      <c r="M26" s="1">
        <v>2100</v>
      </c>
      <c r="N26" s="1">
        <v>2100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22576.06</v>
      </c>
      <c r="Z26" s="1">
        <v>12928.33</v>
      </c>
    </row>
    <row r="27" spans="1:26" x14ac:dyDescent="0.35">
      <c r="A27">
        <v>25</v>
      </c>
      <c r="B27">
        <v>1201</v>
      </c>
      <c r="C27" t="s">
        <v>135</v>
      </c>
      <c r="D27">
        <v>913511</v>
      </c>
      <c r="E27" t="s">
        <v>139</v>
      </c>
      <c r="F27" s="1">
        <v>0</v>
      </c>
      <c r="G27" s="1">
        <v>13020</v>
      </c>
      <c r="H27" s="1">
        <v>13020</v>
      </c>
      <c r="I27" s="1">
        <v>0</v>
      </c>
      <c r="J27" s="1">
        <v>25718</v>
      </c>
      <c r="K27" s="1">
        <v>25718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38738</v>
      </c>
      <c r="Z27" s="1">
        <v>13020</v>
      </c>
    </row>
    <row r="28" spans="1:26" x14ac:dyDescent="0.35">
      <c r="A28">
        <v>26</v>
      </c>
      <c r="B28">
        <v>1201</v>
      </c>
      <c r="C28" t="s">
        <v>135</v>
      </c>
      <c r="D28">
        <v>913531</v>
      </c>
      <c r="E28" t="s">
        <v>126</v>
      </c>
      <c r="F28" s="1">
        <v>0</v>
      </c>
      <c r="G28" s="1">
        <v>1424</v>
      </c>
      <c r="H28" s="1">
        <v>1424</v>
      </c>
      <c r="I28" s="1">
        <v>0</v>
      </c>
      <c r="J28" s="1">
        <v>4666</v>
      </c>
      <c r="K28" s="1">
        <v>4666</v>
      </c>
      <c r="L28" s="1">
        <v>0</v>
      </c>
      <c r="M28" s="1">
        <v>1602</v>
      </c>
      <c r="N28" s="1">
        <v>1602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7692</v>
      </c>
      <c r="Z28" s="1">
        <v>1424</v>
      </c>
    </row>
    <row r="29" spans="1:26" x14ac:dyDescent="0.35">
      <c r="A29">
        <v>27</v>
      </c>
      <c r="B29">
        <v>1201</v>
      </c>
      <c r="C29" t="s">
        <v>135</v>
      </c>
      <c r="D29">
        <v>913611</v>
      </c>
      <c r="E29" t="s">
        <v>140</v>
      </c>
      <c r="F29" s="1">
        <v>0</v>
      </c>
      <c r="G29" s="1">
        <v>1457.63</v>
      </c>
      <c r="H29" s="1">
        <v>1457.63</v>
      </c>
      <c r="I29" s="1">
        <v>0</v>
      </c>
      <c r="J29" s="1">
        <v>1449.15</v>
      </c>
      <c r="K29" s="1">
        <v>1449.15</v>
      </c>
      <c r="L29" s="1">
        <v>0</v>
      </c>
      <c r="M29" s="1">
        <v>1288.1400000000001</v>
      </c>
      <c r="N29" s="1">
        <v>1288.1400000000001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4194.92</v>
      </c>
      <c r="Z29" s="1">
        <v>1457.63</v>
      </c>
    </row>
    <row r="30" spans="1:26" x14ac:dyDescent="0.35">
      <c r="A30">
        <v>28</v>
      </c>
      <c r="B30">
        <v>1201</v>
      </c>
      <c r="C30" t="s">
        <v>135</v>
      </c>
      <c r="D30">
        <v>913721</v>
      </c>
      <c r="E30" t="s">
        <v>141</v>
      </c>
      <c r="F30" s="1">
        <v>0</v>
      </c>
      <c r="G30" s="1">
        <v>2118.64</v>
      </c>
      <c r="H30" s="1">
        <v>2118.64</v>
      </c>
      <c r="I30" s="1">
        <v>0</v>
      </c>
      <c r="J30" s="1">
        <v>0</v>
      </c>
      <c r="K30" s="1">
        <v>0</v>
      </c>
      <c r="L30" s="1">
        <v>0</v>
      </c>
      <c r="M30" s="1">
        <v>127.12</v>
      </c>
      <c r="N30" s="1">
        <v>127.12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2245.7600000000002</v>
      </c>
      <c r="Z30" s="1">
        <v>2118.64</v>
      </c>
    </row>
    <row r="31" spans="1:26" x14ac:dyDescent="0.35">
      <c r="A31">
        <v>29</v>
      </c>
      <c r="B31">
        <v>1201</v>
      </c>
      <c r="C31" t="s">
        <v>135</v>
      </c>
      <c r="D31">
        <v>928412</v>
      </c>
      <c r="E31" t="s">
        <v>142</v>
      </c>
      <c r="F31" s="1">
        <v>0</v>
      </c>
      <c r="G31" s="1">
        <v>152.19999999999999</v>
      </c>
      <c r="H31" s="1">
        <v>152.19999999999999</v>
      </c>
      <c r="I31" s="1">
        <v>0</v>
      </c>
      <c r="J31" s="1">
        <v>152.15</v>
      </c>
      <c r="K31" s="1">
        <v>152.15</v>
      </c>
      <c r="L31" s="1">
        <v>0</v>
      </c>
      <c r="M31" s="1">
        <v>152.19999999999999</v>
      </c>
      <c r="N31" s="1">
        <v>152.19999999999999</v>
      </c>
      <c r="O31" s="1">
        <v>0</v>
      </c>
      <c r="P31" s="1">
        <v>152.15</v>
      </c>
      <c r="Q31" s="1">
        <v>152.15</v>
      </c>
      <c r="R31" s="1">
        <v>0</v>
      </c>
      <c r="S31" s="1">
        <v>152.19999999999999</v>
      </c>
      <c r="T31" s="1">
        <v>152.19999999999999</v>
      </c>
      <c r="U31" s="1">
        <v>0</v>
      </c>
      <c r="V31" s="1">
        <v>152.15</v>
      </c>
      <c r="W31" s="1">
        <v>152.15</v>
      </c>
      <c r="X31" s="1">
        <v>0</v>
      </c>
      <c r="Y31" s="1">
        <v>913.05</v>
      </c>
      <c r="Z31" s="1">
        <v>152.19999999999999</v>
      </c>
    </row>
    <row r="32" spans="1:26" x14ac:dyDescent="0.35">
      <c r="A32">
        <v>30</v>
      </c>
      <c r="B32">
        <v>1201</v>
      </c>
      <c r="C32" t="s">
        <v>135</v>
      </c>
      <c r="D32">
        <v>9112112</v>
      </c>
      <c r="E32" t="s">
        <v>143</v>
      </c>
      <c r="F32" s="1">
        <v>0</v>
      </c>
      <c r="G32" s="1">
        <v>1116457.02</v>
      </c>
      <c r="H32" s="1">
        <v>1116457.02</v>
      </c>
      <c r="I32" s="1">
        <v>0</v>
      </c>
      <c r="J32" s="1">
        <v>1981006.24</v>
      </c>
      <c r="K32" s="1">
        <v>1981006.24</v>
      </c>
      <c r="L32" s="1">
        <v>0</v>
      </c>
      <c r="M32" s="1">
        <v>695500.28</v>
      </c>
      <c r="N32" s="1">
        <v>695500.28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3792963.54</v>
      </c>
      <c r="Z32" s="1">
        <v>1116457.02</v>
      </c>
    </row>
    <row r="33" spans="1:26" x14ac:dyDescent="0.35">
      <c r="A33">
        <v>31</v>
      </c>
      <c r="B33">
        <v>1201</v>
      </c>
      <c r="C33" t="s">
        <v>135</v>
      </c>
      <c r="D33">
        <v>911315</v>
      </c>
      <c r="E33" t="s">
        <v>130</v>
      </c>
      <c r="F33" s="1">
        <v>0</v>
      </c>
      <c r="G33" s="1">
        <v>706.47</v>
      </c>
      <c r="H33" s="1">
        <v>706.47</v>
      </c>
      <c r="I33" s="1">
        <v>0</v>
      </c>
      <c r="J33" s="1">
        <v>1020.09</v>
      </c>
      <c r="K33" s="1">
        <v>1020.09</v>
      </c>
      <c r="L33" s="1">
        <v>0</v>
      </c>
      <c r="M33" s="1">
        <v>1874.25</v>
      </c>
      <c r="N33" s="1">
        <v>1874.25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3600.81</v>
      </c>
      <c r="Z33" s="1">
        <v>706.47</v>
      </c>
    </row>
    <row r="34" spans="1:26" x14ac:dyDescent="0.35">
      <c r="A34">
        <v>32</v>
      </c>
      <c r="B34">
        <v>1201</v>
      </c>
      <c r="C34" t="s">
        <v>135</v>
      </c>
      <c r="D34">
        <v>911322</v>
      </c>
      <c r="E34" t="s">
        <v>144</v>
      </c>
      <c r="F34" s="1">
        <v>0</v>
      </c>
      <c r="G34" s="1">
        <v>2325.7800000000002</v>
      </c>
      <c r="H34" s="1">
        <v>2325.7800000000002</v>
      </c>
      <c r="I34" s="1">
        <v>0</v>
      </c>
      <c r="J34" s="1">
        <v>1716.38</v>
      </c>
      <c r="K34" s="1">
        <v>1716.38</v>
      </c>
      <c r="L34" s="1">
        <v>0</v>
      </c>
      <c r="M34" s="1">
        <v>432.2</v>
      </c>
      <c r="N34" s="1">
        <v>432.2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4474.3599999999997</v>
      </c>
      <c r="Z34" s="1">
        <v>2325.7800000000002</v>
      </c>
    </row>
    <row r="35" spans="1:26" x14ac:dyDescent="0.35">
      <c r="A35">
        <v>33</v>
      </c>
      <c r="B35">
        <v>1201</v>
      </c>
      <c r="C35" t="s">
        <v>135</v>
      </c>
      <c r="D35">
        <v>913113</v>
      </c>
      <c r="E35" t="s">
        <v>145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</row>
    <row r="36" spans="1:26" x14ac:dyDescent="0.35">
      <c r="A36">
        <v>34</v>
      </c>
      <c r="B36">
        <v>1201</v>
      </c>
      <c r="C36" t="s">
        <v>135</v>
      </c>
      <c r="D36">
        <v>913922</v>
      </c>
      <c r="E36" t="s">
        <v>134</v>
      </c>
      <c r="F36" s="1">
        <v>0</v>
      </c>
      <c r="G36" s="1">
        <v>9200.2000000000007</v>
      </c>
      <c r="H36" s="1">
        <v>9200.2000000000007</v>
      </c>
      <c r="I36" s="1">
        <v>0</v>
      </c>
      <c r="J36" s="1">
        <v>18040</v>
      </c>
      <c r="K36" s="1">
        <v>18040</v>
      </c>
      <c r="L36" s="1">
        <v>0</v>
      </c>
      <c r="M36" s="1">
        <v>8686.7000000000007</v>
      </c>
      <c r="N36" s="1">
        <v>8686.7000000000007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35926.9</v>
      </c>
      <c r="Z36" s="1">
        <v>9200.2000000000007</v>
      </c>
    </row>
    <row r="37" spans="1:26" x14ac:dyDescent="0.35">
      <c r="A37">
        <v>35</v>
      </c>
      <c r="B37">
        <v>1201</v>
      </c>
      <c r="C37" t="s">
        <v>135</v>
      </c>
      <c r="D37">
        <v>925615</v>
      </c>
      <c r="E37" t="s">
        <v>144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</row>
    <row r="38" spans="1:26" x14ac:dyDescent="0.35">
      <c r="A38">
        <v>36</v>
      </c>
      <c r="B38">
        <v>1301</v>
      </c>
      <c r="C38" t="s">
        <v>146</v>
      </c>
      <c r="D38">
        <v>911311</v>
      </c>
      <c r="E38" t="s">
        <v>124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129.88</v>
      </c>
      <c r="Q38" s="1">
        <v>129.88</v>
      </c>
      <c r="R38" s="1">
        <v>0</v>
      </c>
      <c r="S38" s="1">
        <v>375.06</v>
      </c>
      <c r="T38" s="1">
        <v>375.06</v>
      </c>
      <c r="U38" s="1">
        <v>0</v>
      </c>
      <c r="V38" s="1">
        <v>259.77</v>
      </c>
      <c r="W38" s="1">
        <v>259.77</v>
      </c>
      <c r="X38" s="1">
        <v>0</v>
      </c>
      <c r="Y38" s="1">
        <v>764.71</v>
      </c>
      <c r="Z38" s="1">
        <v>0</v>
      </c>
    </row>
    <row r="39" spans="1:26" x14ac:dyDescent="0.35">
      <c r="A39">
        <v>37</v>
      </c>
      <c r="B39">
        <v>1301</v>
      </c>
      <c r="C39" t="s">
        <v>146</v>
      </c>
      <c r="D39">
        <v>911411</v>
      </c>
      <c r="E39" t="s">
        <v>136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2376.84</v>
      </c>
      <c r="Q39" s="1">
        <v>2376.84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2376.84</v>
      </c>
      <c r="Z39" s="1">
        <v>0</v>
      </c>
    </row>
    <row r="40" spans="1:26" x14ac:dyDescent="0.35">
      <c r="A40">
        <v>38</v>
      </c>
      <c r="B40">
        <v>1301</v>
      </c>
      <c r="C40" t="s">
        <v>146</v>
      </c>
      <c r="D40">
        <v>913112</v>
      </c>
      <c r="E40" t="s">
        <v>125</v>
      </c>
      <c r="F40" s="1">
        <v>0</v>
      </c>
      <c r="G40" s="1">
        <v>0</v>
      </c>
      <c r="H40" s="1">
        <v>0</v>
      </c>
      <c r="I40" s="1">
        <v>0</v>
      </c>
      <c r="J40" s="1">
        <v>53.28</v>
      </c>
      <c r="K40" s="1">
        <v>53.28</v>
      </c>
      <c r="L40" s="1">
        <v>0</v>
      </c>
      <c r="M40" s="1">
        <v>2506.27</v>
      </c>
      <c r="N40" s="1">
        <v>2506.27</v>
      </c>
      <c r="O40" s="1">
        <v>0</v>
      </c>
      <c r="P40" s="1">
        <v>6340</v>
      </c>
      <c r="Q40" s="1">
        <v>6340</v>
      </c>
      <c r="R40" s="1">
        <v>0</v>
      </c>
      <c r="S40" s="1">
        <v>1289.8499999999999</v>
      </c>
      <c r="T40" s="1">
        <v>1289.8499999999999</v>
      </c>
      <c r="U40" s="1">
        <v>0</v>
      </c>
      <c r="V40" s="1">
        <v>1289.1400000000001</v>
      </c>
      <c r="W40" s="1">
        <v>1289.1400000000001</v>
      </c>
      <c r="X40" s="1">
        <v>0</v>
      </c>
      <c r="Y40" s="1">
        <v>11478.54</v>
      </c>
      <c r="Z40" s="1">
        <v>0</v>
      </c>
    </row>
    <row r="41" spans="1:26" x14ac:dyDescent="0.35">
      <c r="A41">
        <v>39</v>
      </c>
      <c r="B41">
        <v>1301</v>
      </c>
      <c r="C41" t="s">
        <v>146</v>
      </c>
      <c r="D41">
        <v>913511</v>
      </c>
      <c r="E41" t="s">
        <v>139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36215.160000000003</v>
      </c>
      <c r="N41" s="1">
        <v>36215.160000000003</v>
      </c>
      <c r="O41" s="1">
        <v>0</v>
      </c>
      <c r="P41" s="1">
        <v>27111.63</v>
      </c>
      <c r="Q41" s="1">
        <v>27111.63</v>
      </c>
      <c r="R41" s="1">
        <v>0</v>
      </c>
      <c r="S41" s="1">
        <v>26808.99</v>
      </c>
      <c r="T41" s="1">
        <v>26808.99</v>
      </c>
      <c r="U41" s="1">
        <v>0</v>
      </c>
      <c r="V41" s="1">
        <v>35204.230000000003</v>
      </c>
      <c r="W41" s="1">
        <v>35204.230000000003</v>
      </c>
      <c r="X41" s="1">
        <v>0</v>
      </c>
      <c r="Y41" s="1">
        <v>125340.01</v>
      </c>
      <c r="Z41" s="1">
        <v>0</v>
      </c>
    </row>
    <row r="42" spans="1:26" x14ac:dyDescent="0.35">
      <c r="A42">
        <v>40</v>
      </c>
      <c r="B42">
        <v>1301</v>
      </c>
      <c r="C42" t="s">
        <v>146</v>
      </c>
      <c r="D42">
        <v>913531</v>
      </c>
      <c r="E42" t="s">
        <v>126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6608.96</v>
      </c>
      <c r="N42" s="1">
        <v>6608.96</v>
      </c>
      <c r="O42" s="1">
        <v>0</v>
      </c>
      <c r="P42" s="1">
        <v>12322.56</v>
      </c>
      <c r="Q42" s="1">
        <v>12322.56</v>
      </c>
      <c r="R42" s="1">
        <v>0</v>
      </c>
      <c r="S42" s="1">
        <v>9109.32</v>
      </c>
      <c r="T42" s="1">
        <v>9109.32</v>
      </c>
      <c r="U42" s="1">
        <v>0</v>
      </c>
      <c r="V42" s="1">
        <v>10092.209999999999</v>
      </c>
      <c r="W42" s="1">
        <v>10092.209999999999</v>
      </c>
      <c r="X42" s="1">
        <v>0</v>
      </c>
      <c r="Y42" s="1">
        <v>38133.050000000003</v>
      </c>
      <c r="Z42" s="1">
        <v>0</v>
      </c>
    </row>
    <row r="43" spans="1:26" x14ac:dyDescent="0.35">
      <c r="A43">
        <v>41</v>
      </c>
      <c r="B43">
        <v>1301</v>
      </c>
      <c r="C43" t="s">
        <v>146</v>
      </c>
      <c r="D43">
        <v>913561</v>
      </c>
      <c r="E43" t="s">
        <v>127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</row>
    <row r="44" spans="1:26" x14ac:dyDescent="0.35">
      <c r="A44">
        <v>42</v>
      </c>
      <c r="B44">
        <v>1301</v>
      </c>
      <c r="C44" t="s">
        <v>146</v>
      </c>
      <c r="D44">
        <v>913631</v>
      </c>
      <c r="E44" t="s">
        <v>89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7406.51</v>
      </c>
      <c r="N44" s="1">
        <v>7406.51</v>
      </c>
      <c r="O44" s="1">
        <v>0</v>
      </c>
      <c r="P44" s="1">
        <v>8636.83</v>
      </c>
      <c r="Q44" s="1">
        <v>8636.83</v>
      </c>
      <c r="R44" s="1">
        <v>0</v>
      </c>
      <c r="S44" s="1">
        <v>15234.32</v>
      </c>
      <c r="T44" s="1">
        <v>15234.32</v>
      </c>
      <c r="U44" s="1">
        <v>0</v>
      </c>
      <c r="V44" s="1">
        <v>11197.29</v>
      </c>
      <c r="W44" s="1">
        <v>11197.29</v>
      </c>
      <c r="X44" s="1">
        <v>0</v>
      </c>
      <c r="Y44" s="1">
        <v>42474.95</v>
      </c>
      <c r="Z44" s="1">
        <v>0</v>
      </c>
    </row>
    <row r="45" spans="1:26" x14ac:dyDescent="0.35">
      <c r="A45">
        <v>43</v>
      </c>
      <c r="B45">
        <v>1301</v>
      </c>
      <c r="C45" t="s">
        <v>146</v>
      </c>
      <c r="D45">
        <v>9112111</v>
      </c>
      <c r="E45" t="s">
        <v>147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113468.92</v>
      </c>
      <c r="Q45" s="1">
        <v>113468.92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113468.92</v>
      </c>
      <c r="Z45" s="1">
        <v>0</v>
      </c>
    </row>
    <row r="46" spans="1:26" x14ac:dyDescent="0.35">
      <c r="A46">
        <v>44</v>
      </c>
      <c r="B46">
        <v>1301</v>
      </c>
      <c r="C46" t="s">
        <v>146</v>
      </c>
      <c r="D46">
        <v>911314</v>
      </c>
      <c r="E46" t="s">
        <v>129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21017.07</v>
      </c>
      <c r="N46" s="1">
        <v>21017.07</v>
      </c>
      <c r="O46" s="1">
        <v>0</v>
      </c>
      <c r="P46" s="1">
        <v>50935.14</v>
      </c>
      <c r="Q46" s="1">
        <v>50935.14</v>
      </c>
      <c r="R46" s="1">
        <v>0</v>
      </c>
      <c r="S46" s="1">
        <v>37736.81</v>
      </c>
      <c r="T46" s="1">
        <v>37736.81</v>
      </c>
      <c r="U46" s="1">
        <v>0</v>
      </c>
      <c r="V46" s="1">
        <v>14811.64</v>
      </c>
      <c r="W46" s="1">
        <v>14811.64</v>
      </c>
      <c r="X46" s="1">
        <v>0</v>
      </c>
      <c r="Y46" s="1">
        <v>124500.66</v>
      </c>
      <c r="Z46" s="1">
        <v>0</v>
      </c>
    </row>
    <row r="47" spans="1:26" x14ac:dyDescent="0.35">
      <c r="A47">
        <v>45</v>
      </c>
      <c r="B47">
        <v>1301</v>
      </c>
      <c r="C47" t="s">
        <v>146</v>
      </c>
      <c r="D47">
        <v>911315</v>
      </c>
      <c r="E47" t="s">
        <v>130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14912.96</v>
      </c>
      <c r="N47" s="1">
        <v>14912.96</v>
      </c>
      <c r="O47" s="1">
        <v>0</v>
      </c>
      <c r="P47" s="1">
        <v>42917.73</v>
      </c>
      <c r="Q47" s="1">
        <v>42917.73</v>
      </c>
      <c r="R47" s="1">
        <v>0</v>
      </c>
      <c r="S47" s="1">
        <v>63079.5</v>
      </c>
      <c r="T47" s="1">
        <v>63079.5</v>
      </c>
      <c r="U47" s="1">
        <v>0</v>
      </c>
      <c r="V47" s="1">
        <v>24875.9</v>
      </c>
      <c r="W47" s="1">
        <v>24875.9</v>
      </c>
      <c r="X47" s="1">
        <v>0</v>
      </c>
      <c r="Y47" s="1">
        <v>145786.09</v>
      </c>
      <c r="Z47" s="1">
        <v>0</v>
      </c>
    </row>
    <row r="48" spans="1:26" x14ac:dyDescent="0.35">
      <c r="A48">
        <v>46</v>
      </c>
      <c r="B48">
        <v>1301</v>
      </c>
      <c r="C48" t="s">
        <v>146</v>
      </c>
      <c r="D48">
        <v>911316</v>
      </c>
      <c r="E48" t="s">
        <v>131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58267.09</v>
      </c>
      <c r="N48" s="1">
        <v>58267.09</v>
      </c>
      <c r="O48" s="1">
        <v>0</v>
      </c>
      <c r="P48" s="1">
        <v>1398.4</v>
      </c>
      <c r="Q48" s="1">
        <v>1398.4</v>
      </c>
      <c r="R48" s="1">
        <v>0</v>
      </c>
      <c r="S48" s="1">
        <v>-943.88</v>
      </c>
      <c r="T48" s="1">
        <v>-943.88</v>
      </c>
      <c r="U48" s="1">
        <v>0</v>
      </c>
      <c r="V48" s="1">
        <v>0</v>
      </c>
      <c r="W48" s="1">
        <v>0</v>
      </c>
      <c r="X48" s="1">
        <v>0</v>
      </c>
      <c r="Y48" s="1">
        <v>58721.61</v>
      </c>
      <c r="Z48" s="1">
        <v>0</v>
      </c>
    </row>
    <row r="49" spans="1:26" x14ac:dyDescent="0.35">
      <c r="A49">
        <v>47</v>
      </c>
      <c r="B49">
        <v>1301</v>
      </c>
      <c r="C49" t="s">
        <v>146</v>
      </c>
      <c r="D49">
        <v>911317</v>
      </c>
      <c r="E49" t="s">
        <v>132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98579.25</v>
      </c>
      <c r="N49" s="1">
        <v>98579.25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98579.25</v>
      </c>
      <c r="Z49" s="1">
        <v>0</v>
      </c>
    </row>
    <row r="50" spans="1:26" x14ac:dyDescent="0.35">
      <c r="A50">
        <v>48</v>
      </c>
      <c r="B50">
        <v>1301</v>
      </c>
      <c r="C50" t="s">
        <v>146</v>
      </c>
      <c r="D50">
        <v>913113</v>
      </c>
      <c r="E50" t="s">
        <v>145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</row>
    <row r="51" spans="1:26" x14ac:dyDescent="0.35">
      <c r="A51">
        <v>49</v>
      </c>
      <c r="B51">
        <v>1302</v>
      </c>
      <c r="C51" t="s">
        <v>148</v>
      </c>
      <c r="D51">
        <v>911311</v>
      </c>
      <c r="E51" t="s">
        <v>124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129.88</v>
      </c>
      <c r="T51" s="1">
        <v>129.88</v>
      </c>
      <c r="U51" s="1">
        <v>0</v>
      </c>
      <c r="V51" s="1">
        <v>4600</v>
      </c>
      <c r="W51" s="1">
        <v>4600</v>
      </c>
      <c r="X51" s="1">
        <v>0</v>
      </c>
      <c r="Y51" s="1">
        <v>4729.88</v>
      </c>
      <c r="Z51" s="1">
        <v>0</v>
      </c>
    </row>
    <row r="52" spans="1:26" x14ac:dyDescent="0.35">
      <c r="A52">
        <v>50</v>
      </c>
      <c r="B52">
        <v>1302</v>
      </c>
      <c r="C52" t="s">
        <v>148</v>
      </c>
      <c r="D52">
        <v>911411</v>
      </c>
      <c r="E52" t="s">
        <v>136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</row>
    <row r="53" spans="1:26" x14ac:dyDescent="0.35">
      <c r="A53">
        <v>51</v>
      </c>
      <c r="B53">
        <v>1302</v>
      </c>
      <c r="C53" t="s">
        <v>148</v>
      </c>
      <c r="D53">
        <v>913112</v>
      </c>
      <c r="E53" t="s">
        <v>125</v>
      </c>
      <c r="F53" s="1">
        <v>0</v>
      </c>
      <c r="G53" s="1">
        <v>0</v>
      </c>
      <c r="H53" s="1">
        <v>0</v>
      </c>
      <c r="I53" s="1">
        <v>0</v>
      </c>
      <c r="J53" s="1">
        <v>268.55</v>
      </c>
      <c r="K53" s="1">
        <v>268.55</v>
      </c>
      <c r="L53" s="1">
        <v>0</v>
      </c>
      <c r="M53" s="1">
        <v>2211.69</v>
      </c>
      <c r="N53" s="1">
        <v>2211.69</v>
      </c>
      <c r="O53" s="1">
        <v>0</v>
      </c>
      <c r="P53" s="1">
        <v>1940</v>
      </c>
      <c r="Q53" s="1">
        <v>1940</v>
      </c>
      <c r="R53" s="1">
        <v>0</v>
      </c>
      <c r="S53" s="1">
        <v>2410.61</v>
      </c>
      <c r="T53" s="1">
        <v>2410.61</v>
      </c>
      <c r="U53" s="1">
        <v>0</v>
      </c>
      <c r="V53" s="1">
        <v>2644.73</v>
      </c>
      <c r="W53" s="1">
        <v>2644.73</v>
      </c>
      <c r="X53" s="1">
        <v>0</v>
      </c>
      <c r="Y53" s="1">
        <v>9475.58</v>
      </c>
      <c r="Z53" s="1">
        <v>0</v>
      </c>
    </row>
    <row r="54" spans="1:26" x14ac:dyDescent="0.35">
      <c r="A54">
        <v>52</v>
      </c>
      <c r="B54">
        <v>1302</v>
      </c>
      <c r="C54" t="s">
        <v>148</v>
      </c>
      <c r="D54">
        <v>913511</v>
      </c>
      <c r="E54" t="s">
        <v>139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17910.669999999998</v>
      </c>
      <c r="N54" s="1">
        <v>17910.669999999998</v>
      </c>
      <c r="O54" s="1">
        <v>0</v>
      </c>
      <c r="P54" s="1">
        <v>20031.400000000001</v>
      </c>
      <c r="Q54" s="1">
        <v>20031.400000000001</v>
      </c>
      <c r="R54" s="1">
        <v>0</v>
      </c>
      <c r="S54" s="1">
        <v>19807.8</v>
      </c>
      <c r="T54" s="1">
        <v>19807.8</v>
      </c>
      <c r="U54" s="1">
        <v>0</v>
      </c>
      <c r="V54" s="1">
        <v>17410.7</v>
      </c>
      <c r="W54" s="1">
        <v>17410.7</v>
      </c>
      <c r="X54" s="1">
        <v>0</v>
      </c>
      <c r="Y54" s="1">
        <v>75160.570000000007</v>
      </c>
      <c r="Z54" s="1">
        <v>0</v>
      </c>
    </row>
    <row r="55" spans="1:26" x14ac:dyDescent="0.35">
      <c r="A55">
        <v>53</v>
      </c>
      <c r="B55">
        <v>1302</v>
      </c>
      <c r="C55" t="s">
        <v>148</v>
      </c>
      <c r="D55">
        <v>913531</v>
      </c>
      <c r="E55" t="s">
        <v>126</v>
      </c>
      <c r="F55" s="1">
        <v>0</v>
      </c>
      <c r="G55" s="1">
        <v>0</v>
      </c>
      <c r="H55" s="1">
        <v>0</v>
      </c>
      <c r="I55" s="1">
        <v>0</v>
      </c>
      <c r="J55" s="1">
        <v>1887.67</v>
      </c>
      <c r="K55" s="1">
        <v>1887.67</v>
      </c>
      <c r="L55" s="1">
        <v>0</v>
      </c>
      <c r="M55" s="1">
        <v>10627.04</v>
      </c>
      <c r="N55" s="1">
        <v>10627.04</v>
      </c>
      <c r="O55" s="1">
        <v>0</v>
      </c>
      <c r="P55" s="1">
        <v>4464.97</v>
      </c>
      <c r="Q55" s="1">
        <v>4464.97</v>
      </c>
      <c r="R55" s="1">
        <v>0</v>
      </c>
      <c r="S55" s="1">
        <v>7760.61</v>
      </c>
      <c r="T55" s="1">
        <v>7760.61</v>
      </c>
      <c r="U55" s="1">
        <v>0</v>
      </c>
      <c r="V55" s="1">
        <v>13764.21</v>
      </c>
      <c r="W55" s="1">
        <v>13764.21</v>
      </c>
      <c r="X55" s="1">
        <v>0</v>
      </c>
      <c r="Y55" s="1">
        <v>38504.5</v>
      </c>
      <c r="Z55" s="1">
        <v>0</v>
      </c>
    </row>
    <row r="56" spans="1:26" x14ac:dyDescent="0.35">
      <c r="A56">
        <v>54</v>
      </c>
      <c r="B56">
        <v>1302</v>
      </c>
      <c r="C56" t="s">
        <v>148</v>
      </c>
      <c r="D56">
        <v>913561</v>
      </c>
      <c r="E56" t="s">
        <v>127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</row>
    <row r="57" spans="1:26" x14ac:dyDescent="0.35">
      <c r="A57">
        <v>55</v>
      </c>
      <c r="B57">
        <v>1302</v>
      </c>
      <c r="C57" t="s">
        <v>148</v>
      </c>
      <c r="D57">
        <v>913631</v>
      </c>
      <c r="E57" t="s">
        <v>89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855.41</v>
      </c>
      <c r="N57" s="1">
        <v>855.41</v>
      </c>
      <c r="O57" s="1">
        <v>0</v>
      </c>
      <c r="P57" s="1">
        <v>25001.4</v>
      </c>
      <c r="Q57" s="1">
        <v>25001.4</v>
      </c>
      <c r="R57" s="1">
        <v>0</v>
      </c>
      <c r="S57" s="1">
        <v>17623.259999999998</v>
      </c>
      <c r="T57" s="1">
        <v>17623.259999999998</v>
      </c>
      <c r="U57" s="1">
        <v>0</v>
      </c>
      <c r="V57" s="1">
        <v>17395.990000000002</v>
      </c>
      <c r="W57" s="1">
        <v>17395.990000000002</v>
      </c>
      <c r="X57" s="1">
        <v>0</v>
      </c>
      <c r="Y57" s="1">
        <v>60876.06</v>
      </c>
      <c r="Z57" s="1">
        <v>0</v>
      </c>
    </row>
    <row r="58" spans="1:26" x14ac:dyDescent="0.35">
      <c r="A58">
        <v>56</v>
      </c>
      <c r="B58">
        <v>1302</v>
      </c>
      <c r="C58" t="s">
        <v>148</v>
      </c>
      <c r="D58">
        <v>913721</v>
      </c>
      <c r="E58" t="s">
        <v>141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</row>
    <row r="59" spans="1:26" x14ac:dyDescent="0.35">
      <c r="A59">
        <v>57</v>
      </c>
      <c r="B59">
        <v>1302</v>
      </c>
      <c r="C59" t="s">
        <v>148</v>
      </c>
      <c r="D59">
        <v>9112111</v>
      </c>
      <c r="E59" t="s">
        <v>147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70905.39</v>
      </c>
      <c r="Q59" s="1">
        <v>70905.39</v>
      </c>
      <c r="R59" s="1">
        <v>0</v>
      </c>
      <c r="S59" s="1">
        <v>45115.77</v>
      </c>
      <c r="T59" s="1">
        <v>45115.77</v>
      </c>
      <c r="U59" s="1">
        <v>0</v>
      </c>
      <c r="V59" s="1">
        <v>0</v>
      </c>
      <c r="W59" s="1">
        <v>0</v>
      </c>
      <c r="X59" s="1">
        <v>0</v>
      </c>
      <c r="Y59" s="1">
        <v>116021.16</v>
      </c>
      <c r="Z59" s="1">
        <v>0</v>
      </c>
    </row>
    <row r="60" spans="1:26" x14ac:dyDescent="0.35">
      <c r="A60">
        <v>58</v>
      </c>
      <c r="B60">
        <v>1302</v>
      </c>
      <c r="C60" t="s">
        <v>148</v>
      </c>
      <c r="D60">
        <v>911314</v>
      </c>
      <c r="E60" t="s">
        <v>129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103.91</v>
      </c>
      <c r="N60" s="1">
        <v>103.91</v>
      </c>
      <c r="O60" s="1">
        <v>0</v>
      </c>
      <c r="P60" s="1">
        <v>7844.14</v>
      </c>
      <c r="Q60" s="1">
        <v>7844.14</v>
      </c>
      <c r="R60" s="1">
        <v>0</v>
      </c>
      <c r="S60" s="1">
        <v>36278.58</v>
      </c>
      <c r="T60" s="1">
        <v>36278.58</v>
      </c>
      <c r="U60" s="1">
        <v>0</v>
      </c>
      <c r="V60" s="1">
        <v>37956.86</v>
      </c>
      <c r="W60" s="1">
        <v>37956.86</v>
      </c>
      <c r="X60" s="1">
        <v>0</v>
      </c>
      <c r="Y60" s="1">
        <v>82183.490000000005</v>
      </c>
      <c r="Z60" s="1">
        <v>0</v>
      </c>
    </row>
    <row r="61" spans="1:26" x14ac:dyDescent="0.35">
      <c r="A61">
        <v>59</v>
      </c>
      <c r="B61">
        <v>1302</v>
      </c>
      <c r="C61" t="s">
        <v>148</v>
      </c>
      <c r="D61">
        <v>911315</v>
      </c>
      <c r="E61" t="s">
        <v>130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3723.89</v>
      </c>
      <c r="Q61" s="1">
        <v>3723.89</v>
      </c>
      <c r="R61" s="1">
        <v>0</v>
      </c>
      <c r="S61" s="1">
        <v>30379.1</v>
      </c>
      <c r="T61" s="1">
        <v>30379.1</v>
      </c>
      <c r="U61" s="1">
        <v>0</v>
      </c>
      <c r="V61" s="1">
        <v>35825.25</v>
      </c>
      <c r="W61" s="1">
        <v>35825.25</v>
      </c>
      <c r="X61" s="1">
        <v>0</v>
      </c>
      <c r="Y61" s="1">
        <v>69928.240000000005</v>
      </c>
      <c r="Z61" s="1">
        <v>0</v>
      </c>
    </row>
    <row r="62" spans="1:26" x14ac:dyDescent="0.35">
      <c r="A62">
        <v>60</v>
      </c>
      <c r="B62">
        <v>1302</v>
      </c>
      <c r="C62" t="s">
        <v>148</v>
      </c>
      <c r="D62">
        <v>911316</v>
      </c>
      <c r="E62" t="s">
        <v>131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57322.63</v>
      </c>
      <c r="N62" s="1">
        <v>57322.63</v>
      </c>
      <c r="O62" s="1">
        <v>0</v>
      </c>
      <c r="P62" s="1">
        <v>0</v>
      </c>
      <c r="Q62" s="1">
        <v>0</v>
      </c>
      <c r="R62" s="1">
        <v>0</v>
      </c>
      <c r="S62" s="1">
        <v>-8530.08</v>
      </c>
      <c r="T62" s="1">
        <v>-8530.08</v>
      </c>
      <c r="U62" s="1">
        <v>0</v>
      </c>
      <c r="V62" s="1">
        <v>3816.39</v>
      </c>
      <c r="W62" s="1">
        <v>3816.39</v>
      </c>
      <c r="X62" s="1">
        <v>0</v>
      </c>
      <c r="Y62" s="1">
        <v>52608.94</v>
      </c>
      <c r="Z62" s="1">
        <v>0</v>
      </c>
    </row>
    <row r="63" spans="1:26" x14ac:dyDescent="0.35">
      <c r="A63">
        <v>61</v>
      </c>
      <c r="B63">
        <v>1302</v>
      </c>
      <c r="C63" t="s">
        <v>148</v>
      </c>
      <c r="D63">
        <v>911317</v>
      </c>
      <c r="E63" t="s">
        <v>132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95569.65</v>
      </c>
      <c r="N63" s="1">
        <v>95569.65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95569.65</v>
      </c>
      <c r="Z63" s="1">
        <v>0</v>
      </c>
    </row>
    <row r="64" spans="1:26" x14ac:dyDescent="0.35">
      <c r="A64">
        <v>62</v>
      </c>
      <c r="B64">
        <v>1302</v>
      </c>
      <c r="C64" t="s">
        <v>148</v>
      </c>
      <c r="D64">
        <v>913113</v>
      </c>
      <c r="E64" t="s">
        <v>145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</row>
    <row r="65" spans="1:26" x14ac:dyDescent="0.35">
      <c r="A65">
        <v>63</v>
      </c>
      <c r="B65">
        <v>1303</v>
      </c>
      <c r="C65" t="s">
        <v>149</v>
      </c>
      <c r="D65">
        <v>911311</v>
      </c>
      <c r="E65" t="s">
        <v>124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704.68</v>
      </c>
      <c r="W65" s="1">
        <v>704.68</v>
      </c>
      <c r="X65" s="1">
        <v>0</v>
      </c>
      <c r="Y65" s="1">
        <v>704.68</v>
      </c>
      <c r="Z65" s="1">
        <v>0</v>
      </c>
    </row>
    <row r="66" spans="1:26" x14ac:dyDescent="0.35">
      <c r="A66">
        <v>64</v>
      </c>
      <c r="B66">
        <v>1303</v>
      </c>
      <c r="C66" t="s">
        <v>149</v>
      </c>
      <c r="D66">
        <v>911411</v>
      </c>
      <c r="E66" t="s">
        <v>136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</row>
    <row r="67" spans="1:26" x14ac:dyDescent="0.35">
      <c r="A67">
        <v>65</v>
      </c>
      <c r="B67">
        <v>1303</v>
      </c>
      <c r="C67" t="s">
        <v>149</v>
      </c>
      <c r="D67">
        <v>912511</v>
      </c>
      <c r="E67" t="s">
        <v>138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</row>
    <row r="68" spans="1:26" x14ac:dyDescent="0.35">
      <c r="A68">
        <v>66</v>
      </c>
      <c r="B68">
        <v>1303</v>
      </c>
      <c r="C68" t="s">
        <v>149</v>
      </c>
      <c r="D68">
        <v>913112</v>
      </c>
      <c r="E68" t="s">
        <v>125</v>
      </c>
      <c r="F68" s="1">
        <v>0</v>
      </c>
      <c r="G68" s="1">
        <v>0</v>
      </c>
      <c r="H68" s="1">
        <v>0</v>
      </c>
      <c r="I68" s="1">
        <v>0</v>
      </c>
      <c r="J68" s="1">
        <v>183.2</v>
      </c>
      <c r="K68" s="1">
        <v>183.2</v>
      </c>
      <c r="L68" s="1">
        <v>0</v>
      </c>
      <c r="M68" s="1">
        <v>2275.5</v>
      </c>
      <c r="N68" s="1">
        <v>2275.5</v>
      </c>
      <c r="O68" s="1">
        <v>0</v>
      </c>
      <c r="P68" s="1">
        <v>2610</v>
      </c>
      <c r="Q68" s="1">
        <v>2610</v>
      </c>
      <c r="R68" s="1">
        <v>0</v>
      </c>
      <c r="S68" s="1">
        <v>1958.38</v>
      </c>
      <c r="T68" s="1">
        <v>1958.38</v>
      </c>
      <c r="U68" s="1">
        <v>0</v>
      </c>
      <c r="V68" s="1">
        <v>744.24</v>
      </c>
      <c r="W68" s="1">
        <v>744.24</v>
      </c>
      <c r="X68" s="1">
        <v>0</v>
      </c>
      <c r="Y68" s="1">
        <v>7771.32</v>
      </c>
      <c r="Z68" s="1">
        <v>0</v>
      </c>
    </row>
    <row r="69" spans="1:26" x14ac:dyDescent="0.35">
      <c r="A69">
        <v>67</v>
      </c>
      <c r="B69">
        <v>1303</v>
      </c>
      <c r="C69" t="s">
        <v>149</v>
      </c>
      <c r="D69">
        <v>913511</v>
      </c>
      <c r="E69" t="s">
        <v>139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17186.740000000002</v>
      </c>
      <c r="N69" s="1">
        <v>17186.740000000002</v>
      </c>
      <c r="O69" s="1">
        <v>0</v>
      </c>
      <c r="P69" s="1">
        <v>12888.56</v>
      </c>
      <c r="Q69" s="1">
        <v>12888.56</v>
      </c>
      <c r="R69" s="1">
        <v>0</v>
      </c>
      <c r="S69" s="1">
        <v>12744.69</v>
      </c>
      <c r="T69" s="1">
        <v>12744.69</v>
      </c>
      <c r="U69" s="1">
        <v>0</v>
      </c>
      <c r="V69" s="1">
        <v>16706.97</v>
      </c>
      <c r="W69" s="1">
        <v>16706.97</v>
      </c>
      <c r="X69" s="1">
        <v>0</v>
      </c>
      <c r="Y69" s="1">
        <v>59526.96</v>
      </c>
      <c r="Z69" s="1">
        <v>0</v>
      </c>
    </row>
    <row r="70" spans="1:26" x14ac:dyDescent="0.35">
      <c r="A70">
        <v>68</v>
      </c>
      <c r="B70">
        <v>1303</v>
      </c>
      <c r="C70" t="s">
        <v>149</v>
      </c>
      <c r="D70">
        <v>913531</v>
      </c>
      <c r="E70" t="s">
        <v>126</v>
      </c>
      <c r="F70" s="1">
        <v>0</v>
      </c>
      <c r="G70" s="1">
        <v>0</v>
      </c>
      <c r="H70" s="1">
        <v>0</v>
      </c>
      <c r="I70" s="1">
        <v>0</v>
      </c>
      <c r="J70" s="1">
        <v>1817.11</v>
      </c>
      <c r="K70" s="1">
        <v>1817.11</v>
      </c>
      <c r="L70" s="1">
        <v>0</v>
      </c>
      <c r="M70" s="1">
        <v>10505.92</v>
      </c>
      <c r="N70" s="1">
        <v>10505.92</v>
      </c>
      <c r="O70" s="1">
        <v>0</v>
      </c>
      <c r="P70" s="1">
        <v>4977.93</v>
      </c>
      <c r="Q70" s="1">
        <v>4977.93</v>
      </c>
      <c r="R70" s="1">
        <v>0</v>
      </c>
      <c r="S70" s="1">
        <v>6701.34</v>
      </c>
      <c r="T70" s="1">
        <v>6701.34</v>
      </c>
      <c r="U70" s="1">
        <v>0</v>
      </c>
      <c r="V70" s="1">
        <v>12248.27</v>
      </c>
      <c r="W70" s="1">
        <v>12248.27</v>
      </c>
      <c r="X70" s="1">
        <v>0</v>
      </c>
      <c r="Y70" s="1">
        <v>36250.57</v>
      </c>
      <c r="Z70" s="1">
        <v>0</v>
      </c>
    </row>
    <row r="71" spans="1:26" x14ac:dyDescent="0.35">
      <c r="A71">
        <v>69</v>
      </c>
      <c r="B71">
        <v>1303</v>
      </c>
      <c r="C71" t="s">
        <v>149</v>
      </c>
      <c r="D71">
        <v>913561</v>
      </c>
      <c r="E71" t="s">
        <v>127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</row>
    <row r="72" spans="1:26" x14ac:dyDescent="0.35">
      <c r="A72">
        <v>70</v>
      </c>
      <c r="B72">
        <v>1303</v>
      </c>
      <c r="C72" t="s">
        <v>149</v>
      </c>
      <c r="D72">
        <v>913631</v>
      </c>
      <c r="E72" t="s">
        <v>89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856.76</v>
      </c>
      <c r="N72" s="1">
        <v>856.76</v>
      </c>
      <c r="O72" s="1">
        <v>0</v>
      </c>
      <c r="P72" s="1">
        <v>13592.19</v>
      </c>
      <c r="Q72" s="1">
        <v>13592.19</v>
      </c>
      <c r="R72" s="1">
        <v>0</v>
      </c>
      <c r="S72" s="1">
        <v>15757.69</v>
      </c>
      <c r="T72" s="1">
        <v>15757.69</v>
      </c>
      <c r="U72" s="1">
        <v>0</v>
      </c>
      <c r="V72" s="1">
        <v>13350.41</v>
      </c>
      <c r="W72" s="1">
        <v>13350.41</v>
      </c>
      <c r="X72" s="1">
        <v>0</v>
      </c>
      <c r="Y72" s="1">
        <v>43557.05</v>
      </c>
      <c r="Z72" s="1">
        <v>0</v>
      </c>
    </row>
    <row r="73" spans="1:26" x14ac:dyDescent="0.35">
      <c r="A73">
        <v>71</v>
      </c>
      <c r="B73">
        <v>1303</v>
      </c>
      <c r="C73" t="s">
        <v>149</v>
      </c>
      <c r="D73">
        <v>913721</v>
      </c>
      <c r="E73" t="s">
        <v>141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</row>
    <row r="74" spans="1:26" x14ac:dyDescent="0.35">
      <c r="A74">
        <v>72</v>
      </c>
      <c r="B74">
        <v>1303</v>
      </c>
      <c r="C74" t="s">
        <v>149</v>
      </c>
      <c r="D74">
        <v>9112111</v>
      </c>
      <c r="E74" t="s">
        <v>147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54931.81</v>
      </c>
      <c r="Q74" s="1">
        <v>54931.81</v>
      </c>
      <c r="R74" s="1">
        <v>0</v>
      </c>
      <c r="S74" s="1">
        <v>57467.29</v>
      </c>
      <c r="T74" s="1">
        <v>57467.29</v>
      </c>
      <c r="U74" s="1">
        <v>0</v>
      </c>
      <c r="V74" s="1">
        <v>0</v>
      </c>
      <c r="W74" s="1">
        <v>0</v>
      </c>
      <c r="X74" s="1">
        <v>0</v>
      </c>
      <c r="Y74" s="1">
        <v>112399.1</v>
      </c>
      <c r="Z74" s="1">
        <v>0</v>
      </c>
    </row>
    <row r="75" spans="1:26" x14ac:dyDescent="0.35">
      <c r="A75">
        <v>73</v>
      </c>
      <c r="B75">
        <v>1303</v>
      </c>
      <c r="C75" t="s">
        <v>149</v>
      </c>
      <c r="D75">
        <v>911314</v>
      </c>
      <c r="E75" t="s">
        <v>129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8090.1</v>
      </c>
      <c r="Q75" s="1">
        <v>8090.1</v>
      </c>
      <c r="R75" s="1">
        <v>0</v>
      </c>
      <c r="S75" s="1">
        <v>31320.959999999999</v>
      </c>
      <c r="T75" s="1">
        <v>31320.959999999999</v>
      </c>
      <c r="U75" s="1">
        <v>0</v>
      </c>
      <c r="V75" s="1">
        <v>37520</v>
      </c>
      <c r="W75" s="1">
        <v>37520</v>
      </c>
      <c r="X75" s="1">
        <v>0</v>
      </c>
      <c r="Y75" s="1">
        <v>76931.06</v>
      </c>
      <c r="Z75" s="1">
        <v>0</v>
      </c>
    </row>
    <row r="76" spans="1:26" x14ac:dyDescent="0.35">
      <c r="A76">
        <v>74</v>
      </c>
      <c r="B76">
        <v>1303</v>
      </c>
      <c r="C76" t="s">
        <v>149</v>
      </c>
      <c r="D76">
        <v>911315</v>
      </c>
      <c r="E76" t="s">
        <v>130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6071.95</v>
      </c>
      <c r="Q76" s="1">
        <v>6071.95</v>
      </c>
      <c r="R76" s="1">
        <v>0</v>
      </c>
      <c r="S76" s="1">
        <v>29893.86</v>
      </c>
      <c r="T76" s="1">
        <v>29893.86</v>
      </c>
      <c r="U76" s="1">
        <v>0</v>
      </c>
      <c r="V76" s="1">
        <v>31809.85</v>
      </c>
      <c r="W76" s="1">
        <v>31809.85</v>
      </c>
      <c r="X76" s="1">
        <v>0</v>
      </c>
      <c r="Y76" s="1">
        <v>67775.66</v>
      </c>
      <c r="Z76" s="1">
        <v>0</v>
      </c>
    </row>
    <row r="77" spans="1:26" x14ac:dyDescent="0.35">
      <c r="A77">
        <v>75</v>
      </c>
      <c r="B77">
        <v>1303</v>
      </c>
      <c r="C77" t="s">
        <v>149</v>
      </c>
      <c r="D77">
        <v>911316</v>
      </c>
      <c r="E77" t="s">
        <v>131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45347.08</v>
      </c>
      <c r="Q77" s="1">
        <v>45347.08</v>
      </c>
      <c r="R77" s="1">
        <v>0</v>
      </c>
      <c r="S77" s="1">
        <v>736.23</v>
      </c>
      <c r="T77" s="1">
        <v>736.23</v>
      </c>
      <c r="U77" s="1">
        <v>0</v>
      </c>
      <c r="V77" s="1">
        <v>1234.32</v>
      </c>
      <c r="W77" s="1">
        <v>1234.32</v>
      </c>
      <c r="X77" s="1">
        <v>0</v>
      </c>
      <c r="Y77" s="1">
        <v>47317.63</v>
      </c>
      <c r="Z77" s="1">
        <v>0</v>
      </c>
    </row>
    <row r="78" spans="1:26" x14ac:dyDescent="0.35">
      <c r="A78">
        <v>76</v>
      </c>
      <c r="B78">
        <v>1303</v>
      </c>
      <c r="C78" t="s">
        <v>149</v>
      </c>
      <c r="D78">
        <v>911317</v>
      </c>
      <c r="E78" t="s">
        <v>132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91154.25</v>
      </c>
      <c r="N78" s="1">
        <v>91154.25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91154.25</v>
      </c>
      <c r="Z78" s="1">
        <v>0</v>
      </c>
    </row>
    <row r="79" spans="1:26" x14ac:dyDescent="0.35">
      <c r="A79">
        <v>77</v>
      </c>
      <c r="B79">
        <v>1303</v>
      </c>
      <c r="C79" t="s">
        <v>149</v>
      </c>
      <c r="D79">
        <v>913113</v>
      </c>
      <c r="E79" t="s">
        <v>145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</row>
    <row r="80" spans="1:26" x14ac:dyDescent="0.35">
      <c r="A80">
        <v>78</v>
      </c>
      <c r="B80">
        <v>1304</v>
      </c>
      <c r="C80" t="s">
        <v>150</v>
      </c>
      <c r="D80">
        <v>911311</v>
      </c>
      <c r="E80" t="s">
        <v>124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125.01</v>
      </c>
      <c r="T80" s="1">
        <v>125.01</v>
      </c>
      <c r="U80" s="1">
        <v>0</v>
      </c>
      <c r="V80" s="1">
        <v>0</v>
      </c>
      <c r="W80" s="1">
        <v>0</v>
      </c>
      <c r="X80" s="1">
        <v>0</v>
      </c>
      <c r="Y80" s="1">
        <v>125.01</v>
      </c>
      <c r="Z80" s="1">
        <v>0</v>
      </c>
    </row>
    <row r="81" spans="1:26" x14ac:dyDescent="0.35">
      <c r="A81">
        <v>79</v>
      </c>
      <c r="B81">
        <v>1304</v>
      </c>
      <c r="C81" t="s">
        <v>150</v>
      </c>
      <c r="D81">
        <v>911411</v>
      </c>
      <c r="E81" t="s">
        <v>136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</row>
    <row r="82" spans="1:26" x14ac:dyDescent="0.35">
      <c r="A82">
        <v>80</v>
      </c>
      <c r="B82">
        <v>1304</v>
      </c>
      <c r="C82" t="s">
        <v>150</v>
      </c>
      <c r="D82">
        <v>912511</v>
      </c>
      <c r="E82" t="s">
        <v>138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</row>
    <row r="83" spans="1:26" x14ac:dyDescent="0.35">
      <c r="A83">
        <v>81</v>
      </c>
      <c r="B83">
        <v>1304</v>
      </c>
      <c r="C83" t="s">
        <v>150</v>
      </c>
      <c r="D83">
        <v>913112</v>
      </c>
      <c r="E83" t="s">
        <v>125</v>
      </c>
      <c r="F83" s="1">
        <v>0</v>
      </c>
      <c r="G83" s="1">
        <v>0</v>
      </c>
      <c r="H83" s="1">
        <v>0</v>
      </c>
      <c r="I83" s="1">
        <v>0</v>
      </c>
      <c r="J83" s="1">
        <v>138.54</v>
      </c>
      <c r="K83" s="1">
        <v>138.54</v>
      </c>
      <c r="L83" s="1">
        <v>0</v>
      </c>
      <c r="M83" s="1">
        <v>895.94</v>
      </c>
      <c r="N83" s="1">
        <v>895.94</v>
      </c>
      <c r="O83" s="1">
        <v>0</v>
      </c>
      <c r="P83" s="1">
        <v>1700</v>
      </c>
      <c r="Q83" s="1">
        <v>1700</v>
      </c>
      <c r="R83" s="1">
        <v>0</v>
      </c>
      <c r="S83" s="1">
        <v>5403.23</v>
      </c>
      <c r="T83" s="1">
        <v>5403.23</v>
      </c>
      <c r="U83" s="1">
        <v>0</v>
      </c>
      <c r="V83" s="1">
        <v>1408.75</v>
      </c>
      <c r="W83" s="1">
        <v>1408.75</v>
      </c>
      <c r="X83" s="1">
        <v>0</v>
      </c>
      <c r="Y83" s="1">
        <v>9546.4599999999991</v>
      </c>
      <c r="Z83" s="1">
        <v>0</v>
      </c>
    </row>
    <row r="84" spans="1:26" x14ac:dyDescent="0.35">
      <c r="A84">
        <v>82</v>
      </c>
      <c r="B84">
        <v>1304</v>
      </c>
      <c r="C84" t="s">
        <v>150</v>
      </c>
      <c r="D84">
        <v>913511</v>
      </c>
      <c r="E84" t="s">
        <v>139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36586.949999999997</v>
      </c>
      <c r="N84" s="1">
        <v>36586.949999999997</v>
      </c>
      <c r="O84" s="1">
        <v>0</v>
      </c>
      <c r="P84" s="1">
        <v>16899.509999999998</v>
      </c>
      <c r="Q84" s="1">
        <v>16899.509999999998</v>
      </c>
      <c r="R84" s="1">
        <v>0</v>
      </c>
      <c r="S84" s="1">
        <v>16710.87</v>
      </c>
      <c r="T84" s="1">
        <v>16710.87</v>
      </c>
      <c r="U84" s="1">
        <v>0</v>
      </c>
      <c r="V84" s="1">
        <v>35565.64</v>
      </c>
      <c r="W84" s="1">
        <v>35565.64</v>
      </c>
      <c r="X84" s="1">
        <v>0</v>
      </c>
      <c r="Y84" s="1">
        <v>105762.97</v>
      </c>
      <c r="Z84" s="1">
        <v>0</v>
      </c>
    </row>
    <row r="85" spans="1:26" x14ac:dyDescent="0.35">
      <c r="A85">
        <v>83</v>
      </c>
      <c r="B85">
        <v>1304</v>
      </c>
      <c r="C85" t="s">
        <v>150</v>
      </c>
      <c r="D85">
        <v>913531</v>
      </c>
      <c r="E85" t="s">
        <v>126</v>
      </c>
      <c r="F85" s="1">
        <v>0</v>
      </c>
      <c r="G85" s="1">
        <v>0</v>
      </c>
      <c r="H85" s="1">
        <v>0</v>
      </c>
      <c r="I85" s="1">
        <v>0</v>
      </c>
      <c r="J85" s="1">
        <v>3217.2</v>
      </c>
      <c r="K85" s="1">
        <v>3217.2</v>
      </c>
      <c r="L85" s="1">
        <v>0</v>
      </c>
      <c r="M85" s="1">
        <v>1983.94</v>
      </c>
      <c r="N85" s="1">
        <v>1983.94</v>
      </c>
      <c r="O85" s="1">
        <v>0</v>
      </c>
      <c r="P85" s="1">
        <v>5720.37</v>
      </c>
      <c r="Q85" s="1">
        <v>5720.37</v>
      </c>
      <c r="R85" s="1">
        <v>0</v>
      </c>
      <c r="S85" s="1">
        <v>7223.89</v>
      </c>
      <c r="T85" s="1">
        <v>7223.89</v>
      </c>
      <c r="U85" s="1">
        <v>0</v>
      </c>
      <c r="V85" s="1">
        <v>19792.47</v>
      </c>
      <c r="W85" s="1">
        <v>19792.47</v>
      </c>
      <c r="X85" s="1">
        <v>0</v>
      </c>
      <c r="Y85" s="1">
        <v>37937.870000000003</v>
      </c>
      <c r="Z85" s="1">
        <v>0</v>
      </c>
    </row>
    <row r="86" spans="1:26" x14ac:dyDescent="0.35">
      <c r="A86">
        <v>84</v>
      </c>
      <c r="B86">
        <v>1304</v>
      </c>
      <c r="C86" t="s">
        <v>150</v>
      </c>
      <c r="D86">
        <v>913561</v>
      </c>
      <c r="E86" t="s">
        <v>127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</row>
    <row r="87" spans="1:26" x14ac:dyDescent="0.35">
      <c r="A87">
        <v>85</v>
      </c>
      <c r="B87">
        <v>1304</v>
      </c>
      <c r="C87" t="s">
        <v>150</v>
      </c>
      <c r="D87">
        <v>913631</v>
      </c>
      <c r="E87" t="s">
        <v>89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17190.150000000001</v>
      </c>
      <c r="Q87" s="1">
        <v>17190.150000000001</v>
      </c>
      <c r="R87" s="1">
        <v>0</v>
      </c>
      <c r="S87" s="1">
        <v>13434.56</v>
      </c>
      <c r="T87" s="1">
        <v>13434.56</v>
      </c>
      <c r="U87" s="1">
        <v>0</v>
      </c>
      <c r="V87" s="1">
        <v>9412.34</v>
      </c>
      <c r="W87" s="1">
        <v>9412.34</v>
      </c>
      <c r="X87" s="1">
        <v>0</v>
      </c>
      <c r="Y87" s="1">
        <v>40037.050000000003</v>
      </c>
      <c r="Z87" s="1">
        <v>0</v>
      </c>
    </row>
    <row r="88" spans="1:26" x14ac:dyDescent="0.35">
      <c r="A88">
        <v>86</v>
      </c>
      <c r="B88">
        <v>1304</v>
      </c>
      <c r="C88" t="s">
        <v>150</v>
      </c>
      <c r="D88">
        <v>913721</v>
      </c>
      <c r="E88" t="s">
        <v>141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</row>
    <row r="89" spans="1:26" x14ac:dyDescent="0.35">
      <c r="A89">
        <v>87</v>
      </c>
      <c r="B89">
        <v>1304</v>
      </c>
      <c r="C89" t="s">
        <v>150</v>
      </c>
      <c r="D89">
        <v>9112111</v>
      </c>
      <c r="E89" t="s">
        <v>147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155469.03</v>
      </c>
      <c r="T89" s="1">
        <v>155469.03</v>
      </c>
      <c r="U89" s="1">
        <v>0</v>
      </c>
      <c r="V89" s="1">
        <v>0</v>
      </c>
      <c r="W89" s="1">
        <v>0</v>
      </c>
      <c r="X89" s="1">
        <v>0</v>
      </c>
      <c r="Y89" s="1">
        <v>155469.03</v>
      </c>
      <c r="Z89" s="1">
        <v>0</v>
      </c>
    </row>
    <row r="90" spans="1:26" x14ac:dyDescent="0.35">
      <c r="A90">
        <v>88</v>
      </c>
      <c r="B90">
        <v>1304</v>
      </c>
      <c r="C90" t="s">
        <v>150</v>
      </c>
      <c r="D90">
        <v>911314</v>
      </c>
      <c r="E90" t="s">
        <v>129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506.72</v>
      </c>
      <c r="Q90" s="1">
        <v>506.72</v>
      </c>
      <c r="R90" s="1">
        <v>0</v>
      </c>
      <c r="S90" s="1">
        <v>15045.04</v>
      </c>
      <c r="T90" s="1">
        <v>15045.04</v>
      </c>
      <c r="U90" s="1">
        <v>0</v>
      </c>
      <c r="V90" s="1">
        <v>42543.43</v>
      </c>
      <c r="W90" s="1">
        <v>42543.43</v>
      </c>
      <c r="X90" s="1">
        <v>0</v>
      </c>
      <c r="Y90" s="1">
        <v>58095.19</v>
      </c>
      <c r="Z90" s="1">
        <v>0</v>
      </c>
    </row>
    <row r="91" spans="1:26" x14ac:dyDescent="0.35">
      <c r="A91">
        <v>89</v>
      </c>
      <c r="B91">
        <v>1304</v>
      </c>
      <c r="C91" t="s">
        <v>150</v>
      </c>
      <c r="D91">
        <v>911315</v>
      </c>
      <c r="E91" t="s">
        <v>130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11845.44</v>
      </c>
      <c r="Q91" s="1">
        <v>11845.44</v>
      </c>
      <c r="R91" s="1">
        <v>0</v>
      </c>
      <c r="S91" s="1">
        <v>14791.54</v>
      </c>
      <c r="T91" s="1">
        <v>14791.54</v>
      </c>
      <c r="U91" s="1">
        <v>0</v>
      </c>
      <c r="V91" s="1">
        <v>54493.95</v>
      </c>
      <c r="W91" s="1">
        <v>54493.95</v>
      </c>
      <c r="X91" s="1">
        <v>0</v>
      </c>
      <c r="Y91" s="1">
        <v>81130.929999999993</v>
      </c>
      <c r="Z91" s="1">
        <v>0</v>
      </c>
    </row>
    <row r="92" spans="1:26" x14ac:dyDescent="0.35">
      <c r="A92">
        <v>90</v>
      </c>
      <c r="B92">
        <v>1304</v>
      </c>
      <c r="C92" t="s">
        <v>150</v>
      </c>
      <c r="D92">
        <v>911316</v>
      </c>
      <c r="E92" t="s">
        <v>131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33350.36</v>
      </c>
      <c r="N92" s="1">
        <v>33350.36</v>
      </c>
      <c r="O92" s="1">
        <v>0</v>
      </c>
      <c r="P92" s="1">
        <v>49221.56</v>
      </c>
      <c r="Q92" s="1">
        <v>49221.56</v>
      </c>
      <c r="R92" s="1">
        <v>0</v>
      </c>
      <c r="S92" s="1">
        <v>-20417.490000000002</v>
      </c>
      <c r="T92" s="1">
        <v>-20417.490000000002</v>
      </c>
      <c r="U92" s="1">
        <v>0</v>
      </c>
      <c r="V92" s="1">
        <v>0</v>
      </c>
      <c r="W92" s="1">
        <v>0</v>
      </c>
      <c r="X92" s="1">
        <v>0</v>
      </c>
      <c r="Y92" s="1">
        <v>62154.43</v>
      </c>
      <c r="Z92" s="1">
        <v>0</v>
      </c>
    </row>
    <row r="93" spans="1:26" x14ac:dyDescent="0.35">
      <c r="A93">
        <v>91</v>
      </c>
      <c r="B93">
        <v>1304</v>
      </c>
      <c r="C93" t="s">
        <v>150</v>
      </c>
      <c r="D93">
        <v>911317</v>
      </c>
      <c r="E93" t="s">
        <v>132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116557.65</v>
      </c>
      <c r="N93" s="1">
        <v>116557.65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116557.65</v>
      </c>
      <c r="Z93" s="1">
        <v>0</v>
      </c>
    </row>
    <row r="94" spans="1:26" x14ac:dyDescent="0.35">
      <c r="A94">
        <v>92</v>
      </c>
      <c r="B94">
        <v>1304</v>
      </c>
      <c r="C94" t="s">
        <v>150</v>
      </c>
      <c r="D94">
        <v>913113</v>
      </c>
      <c r="E94" t="s">
        <v>145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</row>
    <row r="95" spans="1:26" x14ac:dyDescent="0.35">
      <c r="A95">
        <v>93</v>
      </c>
      <c r="B95">
        <v>1305</v>
      </c>
      <c r="C95" t="s">
        <v>151</v>
      </c>
      <c r="D95">
        <v>911311</v>
      </c>
      <c r="E95" t="s">
        <v>124</v>
      </c>
      <c r="F95" s="1">
        <v>0</v>
      </c>
      <c r="G95" s="1">
        <v>23.05</v>
      </c>
      <c r="H95" s="1">
        <v>23.05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23.05</v>
      </c>
      <c r="Z95" s="1">
        <v>23.05</v>
      </c>
    </row>
    <row r="96" spans="1:26" x14ac:dyDescent="0.35">
      <c r="A96">
        <v>94</v>
      </c>
      <c r="B96">
        <v>1305</v>
      </c>
      <c r="C96" t="s">
        <v>151</v>
      </c>
      <c r="D96">
        <v>911411</v>
      </c>
      <c r="E96" t="s">
        <v>136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</row>
    <row r="97" spans="1:26" x14ac:dyDescent="0.35">
      <c r="A97">
        <v>95</v>
      </c>
      <c r="B97">
        <v>1305</v>
      </c>
      <c r="C97" t="s">
        <v>151</v>
      </c>
      <c r="D97">
        <v>913112</v>
      </c>
      <c r="E97" t="s">
        <v>125</v>
      </c>
      <c r="F97" s="1">
        <v>0</v>
      </c>
      <c r="G97" s="1">
        <v>1041.5999999999999</v>
      </c>
      <c r="H97" s="1">
        <v>1041.5999999999999</v>
      </c>
      <c r="I97" s="1">
        <v>0</v>
      </c>
      <c r="J97" s="1">
        <v>46.89</v>
      </c>
      <c r="K97" s="1">
        <v>46.89</v>
      </c>
      <c r="L97" s="1">
        <v>0</v>
      </c>
      <c r="M97" s="1">
        <v>13.57</v>
      </c>
      <c r="N97" s="1">
        <v>13.57</v>
      </c>
      <c r="O97" s="1">
        <v>0</v>
      </c>
      <c r="P97" s="1">
        <v>1725</v>
      </c>
      <c r="Q97" s="1">
        <v>1725</v>
      </c>
      <c r="R97" s="1">
        <v>0</v>
      </c>
      <c r="S97" s="1">
        <v>4199.8900000000003</v>
      </c>
      <c r="T97" s="1">
        <v>4199.8900000000003</v>
      </c>
      <c r="U97" s="1">
        <v>0</v>
      </c>
      <c r="V97" s="1">
        <v>2910.53</v>
      </c>
      <c r="W97" s="1">
        <v>2910.53</v>
      </c>
      <c r="X97" s="1">
        <v>0</v>
      </c>
      <c r="Y97" s="1">
        <v>9937.48</v>
      </c>
      <c r="Z97" s="1">
        <v>1041.5999999999999</v>
      </c>
    </row>
    <row r="98" spans="1:26" x14ac:dyDescent="0.35">
      <c r="A98">
        <v>96</v>
      </c>
      <c r="B98">
        <v>1305</v>
      </c>
      <c r="C98" t="s">
        <v>151</v>
      </c>
      <c r="D98">
        <v>913511</v>
      </c>
      <c r="E98" t="s">
        <v>139</v>
      </c>
      <c r="F98" s="1">
        <v>0</v>
      </c>
      <c r="G98" s="1">
        <v>2342.59</v>
      </c>
      <c r="H98" s="1">
        <v>2342.59</v>
      </c>
      <c r="I98" s="1">
        <v>0</v>
      </c>
      <c r="J98" s="1">
        <v>0</v>
      </c>
      <c r="K98" s="1">
        <v>0</v>
      </c>
      <c r="L98" s="1">
        <v>0</v>
      </c>
      <c r="M98" s="1">
        <v>18652.830000000002</v>
      </c>
      <c r="N98" s="1">
        <v>18652.830000000002</v>
      </c>
      <c r="O98" s="1">
        <v>0</v>
      </c>
      <c r="P98" s="1">
        <v>18749.82</v>
      </c>
      <c r="Q98" s="1">
        <v>18749.82</v>
      </c>
      <c r="R98" s="1">
        <v>0</v>
      </c>
      <c r="S98" s="1">
        <v>18540.52</v>
      </c>
      <c r="T98" s="1">
        <v>18540.52</v>
      </c>
      <c r="U98" s="1">
        <v>0</v>
      </c>
      <c r="V98" s="1">
        <v>18132.14</v>
      </c>
      <c r="W98" s="1">
        <v>18132.14</v>
      </c>
      <c r="X98" s="1">
        <v>0</v>
      </c>
      <c r="Y98" s="1">
        <v>76417.899999999994</v>
      </c>
      <c r="Z98" s="1">
        <v>2342.59</v>
      </c>
    </row>
    <row r="99" spans="1:26" x14ac:dyDescent="0.35">
      <c r="A99">
        <v>97</v>
      </c>
      <c r="B99">
        <v>1305</v>
      </c>
      <c r="C99" t="s">
        <v>151</v>
      </c>
      <c r="D99">
        <v>913531</v>
      </c>
      <c r="E99" t="s">
        <v>126</v>
      </c>
      <c r="F99" s="1">
        <v>0</v>
      </c>
      <c r="G99" s="1">
        <v>2247.6</v>
      </c>
      <c r="H99" s="1">
        <v>2247.6</v>
      </c>
      <c r="I99" s="1">
        <v>0</v>
      </c>
      <c r="J99" s="1">
        <v>0</v>
      </c>
      <c r="K99" s="1">
        <v>0</v>
      </c>
      <c r="L99" s="1">
        <v>0</v>
      </c>
      <c r="M99" s="1">
        <v>5064.7</v>
      </c>
      <c r="N99" s="1">
        <v>5064.7</v>
      </c>
      <c r="O99" s="1">
        <v>0</v>
      </c>
      <c r="P99" s="1">
        <v>3579.32</v>
      </c>
      <c r="Q99" s="1">
        <v>3579.32</v>
      </c>
      <c r="R99" s="1">
        <v>0</v>
      </c>
      <c r="S99" s="1">
        <v>4642.41</v>
      </c>
      <c r="T99" s="1">
        <v>4642.41</v>
      </c>
      <c r="U99" s="1">
        <v>0</v>
      </c>
      <c r="V99" s="1">
        <v>13389.28</v>
      </c>
      <c r="W99" s="1">
        <v>13389.28</v>
      </c>
      <c r="X99" s="1">
        <v>0</v>
      </c>
      <c r="Y99" s="1">
        <v>28923.31</v>
      </c>
      <c r="Z99" s="1">
        <v>2247.6</v>
      </c>
    </row>
    <row r="100" spans="1:26" x14ac:dyDescent="0.35">
      <c r="A100">
        <v>98</v>
      </c>
      <c r="B100">
        <v>1305</v>
      </c>
      <c r="C100" t="s">
        <v>151</v>
      </c>
      <c r="D100">
        <v>913561</v>
      </c>
      <c r="E100" t="s">
        <v>127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</row>
    <row r="101" spans="1:26" x14ac:dyDescent="0.35">
      <c r="A101">
        <v>99</v>
      </c>
      <c r="B101">
        <v>1305</v>
      </c>
      <c r="C101" t="s">
        <v>151</v>
      </c>
      <c r="D101">
        <v>913631</v>
      </c>
      <c r="E101" t="s">
        <v>89</v>
      </c>
      <c r="F101" s="1">
        <v>0</v>
      </c>
      <c r="G101" s="1">
        <v>8405.2999999999993</v>
      </c>
      <c r="H101" s="1">
        <v>8405.2999999999993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2267.31</v>
      </c>
      <c r="Q101" s="1">
        <v>2267.31</v>
      </c>
      <c r="R101" s="1">
        <v>0</v>
      </c>
      <c r="S101" s="1">
        <v>12356.51</v>
      </c>
      <c r="T101" s="1">
        <v>12356.51</v>
      </c>
      <c r="U101" s="1">
        <v>0</v>
      </c>
      <c r="V101" s="1">
        <v>10311.39</v>
      </c>
      <c r="W101" s="1">
        <v>10311.39</v>
      </c>
      <c r="X101" s="1">
        <v>0</v>
      </c>
      <c r="Y101" s="1">
        <v>33340.51</v>
      </c>
      <c r="Z101" s="1">
        <v>8405.2999999999993</v>
      </c>
    </row>
    <row r="102" spans="1:26" x14ac:dyDescent="0.35">
      <c r="A102">
        <v>100</v>
      </c>
      <c r="B102">
        <v>1305</v>
      </c>
      <c r="C102" t="s">
        <v>151</v>
      </c>
      <c r="D102">
        <v>9112111</v>
      </c>
      <c r="E102" t="s">
        <v>147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108613.77</v>
      </c>
      <c r="T102" s="1">
        <v>108613.77</v>
      </c>
      <c r="U102" s="1">
        <v>0</v>
      </c>
      <c r="V102" s="1">
        <v>0</v>
      </c>
      <c r="W102" s="1">
        <v>0</v>
      </c>
      <c r="X102" s="1">
        <v>0</v>
      </c>
      <c r="Y102" s="1">
        <v>108613.77</v>
      </c>
      <c r="Z102" s="1">
        <v>0</v>
      </c>
    </row>
    <row r="103" spans="1:26" x14ac:dyDescent="0.35">
      <c r="A103">
        <v>101</v>
      </c>
      <c r="B103">
        <v>1305</v>
      </c>
      <c r="C103" t="s">
        <v>151</v>
      </c>
      <c r="D103">
        <v>911312</v>
      </c>
      <c r="E103" t="s">
        <v>128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20059.32</v>
      </c>
      <c r="T103" s="1">
        <v>20059.32</v>
      </c>
      <c r="U103" s="1">
        <v>0</v>
      </c>
      <c r="V103" s="1">
        <v>0</v>
      </c>
      <c r="W103" s="1">
        <v>0</v>
      </c>
      <c r="X103" s="1">
        <v>0</v>
      </c>
      <c r="Y103" s="1">
        <v>20059.32</v>
      </c>
      <c r="Z103" s="1">
        <v>0</v>
      </c>
    </row>
    <row r="104" spans="1:26" x14ac:dyDescent="0.35">
      <c r="A104">
        <v>102</v>
      </c>
      <c r="B104">
        <v>1305</v>
      </c>
      <c r="C104" t="s">
        <v>151</v>
      </c>
      <c r="D104">
        <v>911314</v>
      </c>
      <c r="E104" t="s">
        <v>129</v>
      </c>
      <c r="F104" s="1">
        <v>0</v>
      </c>
      <c r="G104" s="1">
        <v>26.16</v>
      </c>
      <c r="H104" s="1">
        <v>26.16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2813.54</v>
      </c>
      <c r="T104" s="1">
        <v>2813.54</v>
      </c>
      <c r="U104" s="1">
        <v>0</v>
      </c>
      <c r="V104" s="1">
        <v>29016.77</v>
      </c>
      <c r="W104" s="1">
        <v>29016.77</v>
      </c>
      <c r="X104" s="1">
        <v>0</v>
      </c>
      <c r="Y104" s="1">
        <v>31856.47</v>
      </c>
      <c r="Z104" s="1">
        <v>26.16</v>
      </c>
    </row>
    <row r="105" spans="1:26" x14ac:dyDescent="0.35">
      <c r="A105">
        <v>103</v>
      </c>
      <c r="B105">
        <v>1305</v>
      </c>
      <c r="C105" t="s">
        <v>151</v>
      </c>
      <c r="D105">
        <v>911315</v>
      </c>
      <c r="E105" t="s">
        <v>130</v>
      </c>
      <c r="F105" s="1">
        <v>0</v>
      </c>
      <c r="G105" s="1">
        <v>350.18</v>
      </c>
      <c r="H105" s="1">
        <v>350.18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65.63</v>
      </c>
      <c r="Q105" s="1">
        <v>65.63</v>
      </c>
      <c r="R105" s="1">
        <v>0</v>
      </c>
      <c r="S105" s="1">
        <v>15362.71</v>
      </c>
      <c r="T105" s="1">
        <v>15362.71</v>
      </c>
      <c r="U105" s="1">
        <v>0</v>
      </c>
      <c r="V105" s="1">
        <v>30716.05</v>
      </c>
      <c r="W105" s="1">
        <v>30716.05</v>
      </c>
      <c r="X105" s="1">
        <v>0</v>
      </c>
      <c r="Y105" s="1">
        <v>46494.57</v>
      </c>
      <c r="Z105" s="1">
        <v>350.18</v>
      </c>
    </row>
    <row r="106" spans="1:26" x14ac:dyDescent="0.35">
      <c r="A106">
        <v>104</v>
      </c>
      <c r="B106">
        <v>1305</v>
      </c>
      <c r="C106" t="s">
        <v>151</v>
      </c>
      <c r="D106">
        <v>911316</v>
      </c>
      <c r="E106" t="s">
        <v>131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33979.61</v>
      </c>
      <c r="Q106" s="1">
        <v>33979.61</v>
      </c>
      <c r="R106" s="1">
        <v>0</v>
      </c>
      <c r="S106" s="1">
        <v>8498.5300000000007</v>
      </c>
      <c r="T106" s="1">
        <v>8498.5300000000007</v>
      </c>
      <c r="U106" s="1">
        <v>0</v>
      </c>
      <c r="V106" s="1">
        <v>0</v>
      </c>
      <c r="W106" s="1">
        <v>0</v>
      </c>
      <c r="X106" s="1">
        <v>0</v>
      </c>
      <c r="Y106" s="1">
        <v>42478.14</v>
      </c>
      <c r="Z106" s="1">
        <v>0</v>
      </c>
    </row>
    <row r="107" spans="1:26" x14ac:dyDescent="0.35">
      <c r="A107">
        <v>105</v>
      </c>
      <c r="B107">
        <v>1305</v>
      </c>
      <c r="C107" t="s">
        <v>151</v>
      </c>
      <c r="D107">
        <v>911317</v>
      </c>
      <c r="E107" t="s">
        <v>132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69300</v>
      </c>
      <c r="Q107" s="1">
        <v>69300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69300</v>
      </c>
      <c r="Z107" s="1">
        <v>0</v>
      </c>
    </row>
    <row r="108" spans="1:26" x14ac:dyDescent="0.35">
      <c r="A108">
        <v>106</v>
      </c>
      <c r="B108">
        <v>1305</v>
      </c>
      <c r="C108" t="s">
        <v>151</v>
      </c>
      <c r="D108">
        <v>913113</v>
      </c>
      <c r="E108" t="s">
        <v>145</v>
      </c>
      <c r="F108" s="1">
        <v>0</v>
      </c>
      <c r="G108" s="1">
        <v>14057.1</v>
      </c>
      <c r="H108" s="1">
        <v>14057.1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14057.1</v>
      </c>
      <c r="Z108" s="1">
        <v>14057.1</v>
      </c>
    </row>
    <row r="109" spans="1:26" x14ac:dyDescent="0.35">
      <c r="A109">
        <v>107</v>
      </c>
      <c r="B109">
        <v>1305</v>
      </c>
      <c r="C109" t="s">
        <v>151</v>
      </c>
      <c r="D109">
        <v>913922</v>
      </c>
      <c r="E109" t="s">
        <v>134</v>
      </c>
      <c r="F109" s="1">
        <v>0</v>
      </c>
      <c r="G109" s="1">
        <v>1100</v>
      </c>
      <c r="H109" s="1">
        <v>1100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1100</v>
      </c>
      <c r="Z109" s="1">
        <v>1100</v>
      </c>
    </row>
    <row r="110" spans="1:26" x14ac:dyDescent="0.35">
      <c r="A110">
        <v>108</v>
      </c>
      <c r="B110">
        <v>1306</v>
      </c>
      <c r="C110" t="s">
        <v>152</v>
      </c>
      <c r="D110">
        <v>911311</v>
      </c>
      <c r="E110" t="s">
        <v>124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</row>
    <row r="111" spans="1:26" x14ac:dyDescent="0.35">
      <c r="A111">
        <v>109</v>
      </c>
      <c r="B111">
        <v>1306</v>
      </c>
      <c r="C111" t="s">
        <v>152</v>
      </c>
      <c r="D111">
        <v>911411</v>
      </c>
      <c r="E111" t="s">
        <v>136</v>
      </c>
      <c r="F111" s="1">
        <v>0</v>
      </c>
      <c r="G111" s="1">
        <v>40410.6</v>
      </c>
      <c r="H111" s="1">
        <v>40410.6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40410.6</v>
      </c>
      <c r="Z111" s="1">
        <v>40410.6</v>
      </c>
    </row>
    <row r="112" spans="1:26" x14ac:dyDescent="0.35">
      <c r="A112">
        <v>110</v>
      </c>
      <c r="B112">
        <v>1306</v>
      </c>
      <c r="C112" t="s">
        <v>152</v>
      </c>
      <c r="D112">
        <v>912511</v>
      </c>
      <c r="E112" t="s">
        <v>138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</row>
    <row r="113" spans="1:26" x14ac:dyDescent="0.35">
      <c r="A113">
        <v>111</v>
      </c>
      <c r="B113">
        <v>1306</v>
      </c>
      <c r="C113" t="s">
        <v>152</v>
      </c>
      <c r="D113">
        <v>913112</v>
      </c>
      <c r="E113" t="s">
        <v>125</v>
      </c>
      <c r="F113" s="1">
        <v>0</v>
      </c>
      <c r="G113" s="1">
        <v>6999.11</v>
      </c>
      <c r="H113" s="1">
        <v>6999.11</v>
      </c>
      <c r="I113" s="1">
        <v>0</v>
      </c>
      <c r="J113" s="1">
        <v>0</v>
      </c>
      <c r="K113" s="1">
        <v>0</v>
      </c>
      <c r="L113" s="1">
        <v>0</v>
      </c>
      <c r="M113" s="1">
        <v>13.57</v>
      </c>
      <c r="N113" s="1">
        <v>13.57</v>
      </c>
      <c r="O113" s="1">
        <v>0</v>
      </c>
      <c r="P113" s="1">
        <v>945</v>
      </c>
      <c r="Q113" s="1">
        <v>945</v>
      </c>
      <c r="R113" s="1">
        <v>0</v>
      </c>
      <c r="S113" s="1">
        <v>3798.78</v>
      </c>
      <c r="T113" s="1">
        <v>3798.78</v>
      </c>
      <c r="U113" s="1">
        <v>0</v>
      </c>
      <c r="V113" s="1">
        <v>6033.7</v>
      </c>
      <c r="W113" s="1">
        <v>6033.7</v>
      </c>
      <c r="X113" s="1">
        <v>0</v>
      </c>
      <c r="Y113" s="1">
        <v>17790.16</v>
      </c>
      <c r="Z113" s="1">
        <v>6999.11</v>
      </c>
    </row>
    <row r="114" spans="1:26" x14ac:dyDescent="0.35">
      <c r="A114">
        <v>112</v>
      </c>
      <c r="B114">
        <v>1306</v>
      </c>
      <c r="C114" t="s">
        <v>152</v>
      </c>
      <c r="D114">
        <v>913291</v>
      </c>
      <c r="E114" t="s">
        <v>153</v>
      </c>
      <c r="F114" s="1">
        <v>0</v>
      </c>
      <c r="G114" s="1">
        <v>3943.68</v>
      </c>
      <c r="H114" s="1">
        <v>3943.68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3943.68</v>
      </c>
      <c r="Z114" s="1">
        <v>3943.68</v>
      </c>
    </row>
    <row r="115" spans="1:26" x14ac:dyDescent="0.35">
      <c r="A115">
        <v>113</v>
      </c>
      <c r="B115">
        <v>1306</v>
      </c>
      <c r="C115" t="s">
        <v>152</v>
      </c>
      <c r="D115">
        <v>913511</v>
      </c>
      <c r="E115" t="s">
        <v>139</v>
      </c>
      <c r="F115" s="1">
        <v>0</v>
      </c>
      <c r="G115" s="1">
        <v>3512.52</v>
      </c>
      <c r="H115" s="1">
        <v>3512.52</v>
      </c>
      <c r="I115" s="1">
        <v>0</v>
      </c>
      <c r="J115" s="1">
        <v>0</v>
      </c>
      <c r="K115" s="1">
        <v>0</v>
      </c>
      <c r="L115" s="1">
        <v>0</v>
      </c>
      <c r="M115" s="1">
        <v>36279.870000000003</v>
      </c>
      <c r="N115" s="1">
        <v>36279.870000000003</v>
      </c>
      <c r="O115" s="1">
        <v>0</v>
      </c>
      <c r="P115" s="1">
        <v>36468.559999999998</v>
      </c>
      <c r="Q115" s="1">
        <v>36468.559999999998</v>
      </c>
      <c r="R115" s="1">
        <v>0</v>
      </c>
      <c r="S115" s="1">
        <v>36061.47</v>
      </c>
      <c r="T115" s="1">
        <v>36061.47</v>
      </c>
      <c r="U115" s="1">
        <v>0</v>
      </c>
      <c r="V115" s="1">
        <v>35267.129999999997</v>
      </c>
      <c r="W115" s="1">
        <v>35267.129999999997</v>
      </c>
      <c r="X115" s="1">
        <v>0</v>
      </c>
      <c r="Y115" s="1">
        <v>147589.54999999999</v>
      </c>
      <c r="Z115" s="1">
        <v>3512.52</v>
      </c>
    </row>
    <row r="116" spans="1:26" x14ac:dyDescent="0.35">
      <c r="A116">
        <v>114</v>
      </c>
      <c r="B116">
        <v>1306</v>
      </c>
      <c r="C116" t="s">
        <v>152</v>
      </c>
      <c r="D116">
        <v>913531</v>
      </c>
      <c r="E116" t="s">
        <v>126</v>
      </c>
      <c r="F116" s="1">
        <v>0</v>
      </c>
      <c r="G116" s="1">
        <v>6974.56</v>
      </c>
      <c r="H116" s="1">
        <v>6974.56</v>
      </c>
      <c r="I116" s="1">
        <v>0</v>
      </c>
      <c r="J116" s="1">
        <v>0</v>
      </c>
      <c r="K116" s="1">
        <v>0</v>
      </c>
      <c r="L116" s="1">
        <v>0</v>
      </c>
      <c r="M116" s="1">
        <v>4370.3999999999996</v>
      </c>
      <c r="N116" s="1">
        <v>4370.3999999999996</v>
      </c>
      <c r="O116" s="1">
        <v>0</v>
      </c>
      <c r="P116" s="1">
        <v>6479.08</v>
      </c>
      <c r="Q116" s="1">
        <v>6479.08</v>
      </c>
      <c r="R116" s="1">
        <v>0</v>
      </c>
      <c r="S116" s="1">
        <v>692.11</v>
      </c>
      <c r="T116" s="1">
        <v>692.11</v>
      </c>
      <c r="U116" s="1">
        <v>0</v>
      </c>
      <c r="V116" s="1">
        <v>23481.65</v>
      </c>
      <c r="W116" s="1">
        <v>23481.65</v>
      </c>
      <c r="X116" s="1">
        <v>0</v>
      </c>
      <c r="Y116" s="1">
        <v>41997.8</v>
      </c>
      <c r="Z116" s="1">
        <v>6974.56</v>
      </c>
    </row>
    <row r="117" spans="1:26" x14ac:dyDescent="0.35">
      <c r="A117">
        <v>115</v>
      </c>
      <c r="B117">
        <v>1306</v>
      </c>
      <c r="C117" t="s">
        <v>152</v>
      </c>
      <c r="D117">
        <v>913561</v>
      </c>
      <c r="E117" t="s">
        <v>127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</row>
    <row r="118" spans="1:26" x14ac:dyDescent="0.35">
      <c r="A118">
        <v>116</v>
      </c>
      <c r="B118">
        <v>1306</v>
      </c>
      <c r="C118" t="s">
        <v>152</v>
      </c>
      <c r="D118">
        <v>913631</v>
      </c>
      <c r="E118" t="s">
        <v>89</v>
      </c>
      <c r="F118" s="1">
        <v>0</v>
      </c>
      <c r="G118" s="1">
        <v>20739.45</v>
      </c>
      <c r="H118" s="1">
        <v>20739.45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559.54</v>
      </c>
      <c r="Q118" s="1">
        <v>559.54</v>
      </c>
      <c r="R118" s="1">
        <v>0</v>
      </c>
      <c r="S118" s="1">
        <v>6120.04</v>
      </c>
      <c r="T118" s="1">
        <v>6120.04</v>
      </c>
      <c r="U118" s="1">
        <v>0</v>
      </c>
      <c r="V118" s="1">
        <v>23039.01</v>
      </c>
      <c r="W118" s="1">
        <v>23039.01</v>
      </c>
      <c r="X118" s="1">
        <v>0</v>
      </c>
      <c r="Y118" s="1">
        <v>50458.04</v>
      </c>
      <c r="Z118" s="1">
        <v>20739.45</v>
      </c>
    </row>
    <row r="119" spans="1:26" x14ac:dyDescent="0.35">
      <c r="A119">
        <v>117</v>
      </c>
      <c r="B119">
        <v>1306</v>
      </c>
      <c r="C119" t="s">
        <v>152</v>
      </c>
      <c r="D119">
        <v>913721</v>
      </c>
      <c r="E119" t="s">
        <v>141</v>
      </c>
      <c r="F119" s="1">
        <v>0</v>
      </c>
      <c r="G119" s="1">
        <v>737.29</v>
      </c>
      <c r="H119" s="1">
        <v>737.29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737.29</v>
      </c>
      <c r="Z119" s="1">
        <v>737.29</v>
      </c>
    </row>
    <row r="120" spans="1:26" x14ac:dyDescent="0.35">
      <c r="A120">
        <v>118</v>
      </c>
      <c r="B120">
        <v>1306</v>
      </c>
      <c r="C120" t="s">
        <v>152</v>
      </c>
      <c r="D120">
        <v>915611</v>
      </c>
      <c r="E120" t="s">
        <v>154</v>
      </c>
      <c r="F120" s="1">
        <v>0</v>
      </c>
      <c r="G120" s="1">
        <v>1696.89</v>
      </c>
      <c r="H120" s="1">
        <v>1696.89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1696.89</v>
      </c>
      <c r="Z120" s="1">
        <v>1696.89</v>
      </c>
    </row>
    <row r="121" spans="1:26" x14ac:dyDescent="0.35">
      <c r="A121">
        <v>119</v>
      </c>
      <c r="B121">
        <v>1306</v>
      </c>
      <c r="C121" t="s">
        <v>152</v>
      </c>
      <c r="D121">
        <v>9112111</v>
      </c>
      <c r="E121" t="s">
        <v>147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79561.17</v>
      </c>
      <c r="T121" s="1">
        <v>79561.17</v>
      </c>
      <c r="U121" s="1">
        <v>0</v>
      </c>
      <c r="V121" s="1">
        <v>134455.37</v>
      </c>
      <c r="W121" s="1">
        <v>134455.37</v>
      </c>
      <c r="X121" s="1">
        <v>0</v>
      </c>
      <c r="Y121" s="1">
        <v>214016.54</v>
      </c>
      <c r="Z121" s="1">
        <v>0</v>
      </c>
    </row>
    <row r="122" spans="1:26" x14ac:dyDescent="0.35">
      <c r="A122">
        <v>120</v>
      </c>
      <c r="B122">
        <v>1306</v>
      </c>
      <c r="C122" t="s">
        <v>152</v>
      </c>
      <c r="D122">
        <v>911312</v>
      </c>
      <c r="E122" t="s">
        <v>128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28974.560000000001</v>
      </c>
      <c r="T122" s="1">
        <v>28974.560000000001</v>
      </c>
      <c r="U122" s="1">
        <v>0</v>
      </c>
      <c r="V122" s="1">
        <v>0</v>
      </c>
      <c r="W122" s="1">
        <v>0</v>
      </c>
      <c r="X122" s="1">
        <v>0</v>
      </c>
      <c r="Y122" s="1">
        <v>28974.560000000001</v>
      </c>
      <c r="Z122" s="1">
        <v>0</v>
      </c>
    </row>
    <row r="123" spans="1:26" x14ac:dyDescent="0.35">
      <c r="A123">
        <v>121</v>
      </c>
      <c r="B123">
        <v>1306</v>
      </c>
      <c r="C123" t="s">
        <v>152</v>
      </c>
      <c r="D123">
        <v>911314</v>
      </c>
      <c r="E123" t="s">
        <v>129</v>
      </c>
      <c r="F123" s="1">
        <v>0</v>
      </c>
      <c r="G123" s="1">
        <v>34.880000000000003</v>
      </c>
      <c r="H123" s="1">
        <v>34.880000000000003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38143.15</v>
      </c>
      <c r="W123" s="1">
        <v>38143.15</v>
      </c>
      <c r="X123" s="1">
        <v>0</v>
      </c>
      <c r="Y123" s="1">
        <v>38178.03</v>
      </c>
      <c r="Z123" s="1">
        <v>34.880000000000003</v>
      </c>
    </row>
    <row r="124" spans="1:26" x14ac:dyDescent="0.35">
      <c r="A124">
        <v>122</v>
      </c>
      <c r="B124">
        <v>1306</v>
      </c>
      <c r="C124" t="s">
        <v>152</v>
      </c>
      <c r="D124">
        <v>911315</v>
      </c>
      <c r="E124" t="s">
        <v>130</v>
      </c>
      <c r="F124" s="1">
        <v>0</v>
      </c>
      <c r="G124" s="1">
        <v>486.34</v>
      </c>
      <c r="H124" s="1">
        <v>486.34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2940.25</v>
      </c>
      <c r="T124" s="1">
        <v>2940.25</v>
      </c>
      <c r="U124" s="1">
        <v>0</v>
      </c>
      <c r="V124" s="1">
        <v>44236.57</v>
      </c>
      <c r="W124" s="1">
        <v>44236.57</v>
      </c>
      <c r="X124" s="1">
        <v>0</v>
      </c>
      <c r="Y124" s="1">
        <v>47663.16</v>
      </c>
      <c r="Z124" s="1">
        <v>486.34</v>
      </c>
    </row>
    <row r="125" spans="1:26" x14ac:dyDescent="0.35">
      <c r="A125">
        <v>123</v>
      </c>
      <c r="B125">
        <v>1306</v>
      </c>
      <c r="C125" t="s">
        <v>152</v>
      </c>
      <c r="D125">
        <v>911316</v>
      </c>
      <c r="E125" t="s">
        <v>131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39013.629999999997</v>
      </c>
      <c r="Q125" s="1">
        <v>39013.629999999997</v>
      </c>
      <c r="R125" s="1">
        <v>0</v>
      </c>
      <c r="S125" s="1">
        <v>43283.66</v>
      </c>
      <c r="T125" s="1">
        <v>43283.66</v>
      </c>
      <c r="U125" s="1">
        <v>0</v>
      </c>
      <c r="V125" s="1">
        <v>0</v>
      </c>
      <c r="W125" s="1">
        <v>0</v>
      </c>
      <c r="X125" s="1">
        <v>0</v>
      </c>
      <c r="Y125" s="1">
        <v>82297.289999999994</v>
      </c>
      <c r="Z125" s="1">
        <v>0</v>
      </c>
    </row>
    <row r="126" spans="1:26" x14ac:dyDescent="0.35">
      <c r="A126">
        <v>124</v>
      </c>
      <c r="B126">
        <v>1306</v>
      </c>
      <c r="C126" t="s">
        <v>152</v>
      </c>
      <c r="D126">
        <v>911317</v>
      </c>
      <c r="E126" t="s">
        <v>132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141213.6</v>
      </c>
      <c r="Q126" s="1">
        <v>141213.6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141213.6</v>
      </c>
      <c r="Z126" s="1">
        <v>0</v>
      </c>
    </row>
    <row r="127" spans="1:26" x14ac:dyDescent="0.35">
      <c r="A127">
        <v>125</v>
      </c>
      <c r="B127">
        <v>1306</v>
      </c>
      <c r="C127" t="s">
        <v>152</v>
      </c>
      <c r="D127">
        <v>913113</v>
      </c>
      <c r="E127" t="s">
        <v>145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</row>
    <row r="128" spans="1:26" x14ac:dyDescent="0.35">
      <c r="A128">
        <v>126</v>
      </c>
      <c r="B128">
        <v>1306</v>
      </c>
      <c r="C128" t="s">
        <v>152</v>
      </c>
      <c r="D128">
        <v>913922</v>
      </c>
      <c r="E128" t="s">
        <v>134</v>
      </c>
      <c r="F128" s="1">
        <v>0</v>
      </c>
      <c r="G128" s="1">
        <v>25740.9</v>
      </c>
      <c r="H128" s="1">
        <v>25740.9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25740.9</v>
      </c>
      <c r="Z128" s="1">
        <v>25740.9</v>
      </c>
    </row>
    <row r="129" spans="1:26" x14ac:dyDescent="0.35">
      <c r="A129">
        <v>127</v>
      </c>
      <c r="B129">
        <v>1307</v>
      </c>
      <c r="C129" t="s">
        <v>155</v>
      </c>
      <c r="D129">
        <v>911311</v>
      </c>
      <c r="E129" t="s">
        <v>124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</row>
    <row r="130" spans="1:26" x14ac:dyDescent="0.35">
      <c r="A130">
        <v>128</v>
      </c>
      <c r="B130">
        <v>1307</v>
      </c>
      <c r="C130" t="s">
        <v>155</v>
      </c>
      <c r="D130">
        <v>911411</v>
      </c>
      <c r="E130" t="s">
        <v>136</v>
      </c>
      <c r="F130" s="1">
        <v>0</v>
      </c>
      <c r="G130" s="1">
        <v>24074.400000000001</v>
      </c>
      <c r="H130" s="1">
        <v>24074.400000000001</v>
      </c>
      <c r="I130" s="1">
        <v>0</v>
      </c>
      <c r="J130" s="1">
        <v>8598</v>
      </c>
      <c r="K130" s="1">
        <v>8598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32672.400000000001</v>
      </c>
      <c r="Z130" s="1">
        <v>24074.400000000001</v>
      </c>
    </row>
    <row r="131" spans="1:26" x14ac:dyDescent="0.35">
      <c r="A131">
        <v>129</v>
      </c>
      <c r="B131">
        <v>1307</v>
      </c>
      <c r="C131" t="s">
        <v>155</v>
      </c>
      <c r="D131">
        <v>913112</v>
      </c>
      <c r="E131" t="s">
        <v>125</v>
      </c>
      <c r="F131" s="1">
        <v>0</v>
      </c>
      <c r="G131" s="1">
        <v>10135.35</v>
      </c>
      <c r="H131" s="1">
        <v>10135.35</v>
      </c>
      <c r="I131" s="1">
        <v>0</v>
      </c>
      <c r="J131" s="1">
        <v>1275.0899999999999</v>
      </c>
      <c r="K131" s="1">
        <v>1275.0899999999999</v>
      </c>
      <c r="L131" s="1">
        <v>0</v>
      </c>
      <c r="M131" s="1">
        <v>27.15</v>
      </c>
      <c r="N131" s="1">
        <v>27.15</v>
      </c>
      <c r="O131" s="1">
        <v>0</v>
      </c>
      <c r="P131" s="1">
        <v>0</v>
      </c>
      <c r="Q131" s="1">
        <v>0</v>
      </c>
      <c r="R131" s="1">
        <v>0</v>
      </c>
      <c r="S131" s="1">
        <v>1195.47</v>
      </c>
      <c r="T131" s="1">
        <v>1195.47</v>
      </c>
      <c r="U131" s="1">
        <v>0</v>
      </c>
      <c r="V131" s="1">
        <v>6817.81</v>
      </c>
      <c r="W131" s="1">
        <v>6817.81</v>
      </c>
      <c r="X131" s="1">
        <v>0</v>
      </c>
      <c r="Y131" s="1">
        <v>19450.87</v>
      </c>
      <c r="Z131" s="1">
        <v>10135.35</v>
      </c>
    </row>
    <row r="132" spans="1:26" x14ac:dyDescent="0.35">
      <c r="A132">
        <v>130</v>
      </c>
      <c r="B132">
        <v>1307</v>
      </c>
      <c r="C132" t="s">
        <v>155</v>
      </c>
      <c r="D132">
        <v>913291</v>
      </c>
      <c r="E132" t="s">
        <v>153</v>
      </c>
      <c r="F132" s="1">
        <v>0</v>
      </c>
      <c r="G132" s="1">
        <v>3712.34</v>
      </c>
      <c r="H132" s="1">
        <v>3712.34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3712.34</v>
      </c>
      <c r="Z132" s="1">
        <v>3712.34</v>
      </c>
    </row>
    <row r="133" spans="1:26" x14ac:dyDescent="0.35">
      <c r="A133">
        <v>131</v>
      </c>
      <c r="B133">
        <v>1307</v>
      </c>
      <c r="C133" t="s">
        <v>155</v>
      </c>
      <c r="D133">
        <v>913511</v>
      </c>
      <c r="E133" t="s">
        <v>139</v>
      </c>
      <c r="F133" s="1">
        <v>0</v>
      </c>
      <c r="G133" s="1">
        <v>32768.81</v>
      </c>
      <c r="H133" s="1">
        <v>32768.81</v>
      </c>
      <c r="I133" s="1">
        <v>0</v>
      </c>
      <c r="J133" s="1">
        <v>1474.4</v>
      </c>
      <c r="K133" s="1">
        <v>1474.4</v>
      </c>
      <c r="L133" s="1">
        <v>0</v>
      </c>
      <c r="M133" s="1">
        <v>22394.85</v>
      </c>
      <c r="N133" s="1">
        <v>22394.85</v>
      </c>
      <c r="O133" s="1">
        <v>0</v>
      </c>
      <c r="P133" s="1">
        <v>22511.23</v>
      </c>
      <c r="Q133" s="1">
        <v>22511.23</v>
      </c>
      <c r="R133" s="1">
        <v>0</v>
      </c>
      <c r="S133" s="1">
        <v>22259.95</v>
      </c>
      <c r="T133" s="1">
        <v>22259.95</v>
      </c>
      <c r="U133" s="1">
        <v>0</v>
      </c>
      <c r="V133" s="1">
        <v>21769.71</v>
      </c>
      <c r="W133" s="1">
        <v>21769.71</v>
      </c>
      <c r="X133" s="1">
        <v>0</v>
      </c>
      <c r="Y133" s="1">
        <v>123178.95</v>
      </c>
      <c r="Z133" s="1">
        <v>32768.81</v>
      </c>
    </row>
    <row r="134" spans="1:26" x14ac:dyDescent="0.35">
      <c r="A134">
        <v>132</v>
      </c>
      <c r="B134">
        <v>1307</v>
      </c>
      <c r="C134" t="s">
        <v>155</v>
      </c>
      <c r="D134">
        <v>913531</v>
      </c>
      <c r="E134" t="s">
        <v>126</v>
      </c>
      <c r="F134" s="1">
        <v>0</v>
      </c>
      <c r="G134" s="1">
        <v>5606.26</v>
      </c>
      <c r="H134" s="1">
        <v>5606.26</v>
      </c>
      <c r="I134" s="1">
        <v>0</v>
      </c>
      <c r="J134" s="1">
        <v>6310.85</v>
      </c>
      <c r="K134" s="1">
        <v>6310.85</v>
      </c>
      <c r="L134" s="1">
        <v>0</v>
      </c>
      <c r="M134" s="1">
        <v>3341</v>
      </c>
      <c r="N134" s="1">
        <v>3341</v>
      </c>
      <c r="O134" s="1">
        <v>0</v>
      </c>
      <c r="P134" s="1">
        <v>4709.8</v>
      </c>
      <c r="Q134" s="1">
        <v>4709.8</v>
      </c>
      <c r="R134" s="1">
        <v>0</v>
      </c>
      <c r="S134" s="1">
        <v>0</v>
      </c>
      <c r="T134" s="1">
        <v>0</v>
      </c>
      <c r="U134" s="1">
        <v>0</v>
      </c>
      <c r="V134" s="1">
        <v>9217.8799999999992</v>
      </c>
      <c r="W134" s="1">
        <v>9217.8799999999992</v>
      </c>
      <c r="X134" s="1">
        <v>0</v>
      </c>
      <c r="Y134" s="1">
        <v>29185.79</v>
      </c>
      <c r="Z134" s="1">
        <v>5606.26</v>
      </c>
    </row>
    <row r="135" spans="1:26" x14ac:dyDescent="0.35">
      <c r="A135">
        <v>133</v>
      </c>
      <c r="B135">
        <v>1307</v>
      </c>
      <c r="C135" t="s">
        <v>155</v>
      </c>
      <c r="D135">
        <v>913561</v>
      </c>
      <c r="E135" t="s">
        <v>127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</row>
    <row r="136" spans="1:26" x14ac:dyDescent="0.35">
      <c r="A136">
        <v>134</v>
      </c>
      <c r="B136">
        <v>1307</v>
      </c>
      <c r="C136" t="s">
        <v>155</v>
      </c>
      <c r="D136">
        <v>913631</v>
      </c>
      <c r="E136" t="s">
        <v>89</v>
      </c>
      <c r="F136" s="1">
        <v>0</v>
      </c>
      <c r="G136" s="1">
        <v>16773.560000000001</v>
      </c>
      <c r="H136" s="1">
        <v>16773.560000000001</v>
      </c>
      <c r="I136" s="1">
        <v>0</v>
      </c>
      <c r="J136" s="1">
        <v>4645.7</v>
      </c>
      <c r="K136" s="1">
        <v>4645.7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9519.6299999999992</v>
      </c>
      <c r="T136" s="1">
        <v>9519.6299999999992</v>
      </c>
      <c r="U136" s="1">
        <v>0</v>
      </c>
      <c r="V136" s="1">
        <v>11701.41</v>
      </c>
      <c r="W136" s="1">
        <v>11701.41</v>
      </c>
      <c r="X136" s="1">
        <v>0</v>
      </c>
      <c r="Y136" s="1">
        <v>42640.3</v>
      </c>
      <c r="Z136" s="1">
        <v>16773.560000000001</v>
      </c>
    </row>
    <row r="137" spans="1:26" x14ac:dyDescent="0.35">
      <c r="A137">
        <v>135</v>
      </c>
      <c r="B137">
        <v>1307</v>
      </c>
      <c r="C137" t="s">
        <v>155</v>
      </c>
      <c r="D137">
        <v>913721</v>
      </c>
      <c r="E137" t="s">
        <v>141</v>
      </c>
      <c r="F137" s="1">
        <v>0</v>
      </c>
      <c r="G137" s="1">
        <v>838.98</v>
      </c>
      <c r="H137" s="1">
        <v>838.98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838.98</v>
      </c>
      <c r="Z137" s="1">
        <v>838.98</v>
      </c>
    </row>
    <row r="138" spans="1:26" x14ac:dyDescent="0.35">
      <c r="A138">
        <v>136</v>
      </c>
      <c r="B138">
        <v>1307</v>
      </c>
      <c r="C138" t="s">
        <v>155</v>
      </c>
      <c r="D138">
        <v>915611</v>
      </c>
      <c r="E138" t="s">
        <v>154</v>
      </c>
      <c r="F138" s="1">
        <v>0</v>
      </c>
      <c r="G138" s="1">
        <v>1197.08</v>
      </c>
      <c r="H138" s="1">
        <v>1197.08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1197.08</v>
      </c>
      <c r="Z138" s="1">
        <v>1197.08</v>
      </c>
    </row>
    <row r="139" spans="1:26" x14ac:dyDescent="0.35">
      <c r="A139">
        <v>137</v>
      </c>
      <c r="B139">
        <v>1307</v>
      </c>
      <c r="C139" t="s">
        <v>155</v>
      </c>
      <c r="D139">
        <v>922511</v>
      </c>
      <c r="E139" t="s">
        <v>138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</row>
    <row r="140" spans="1:26" x14ac:dyDescent="0.35">
      <c r="A140">
        <v>138</v>
      </c>
      <c r="B140">
        <v>1307</v>
      </c>
      <c r="C140" t="s">
        <v>155</v>
      </c>
      <c r="D140">
        <v>9112111</v>
      </c>
      <c r="E140" t="s">
        <v>147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152630.17000000001</v>
      </c>
      <c r="W140" s="1">
        <v>152630.17000000001</v>
      </c>
      <c r="X140" s="1">
        <v>0</v>
      </c>
      <c r="Y140" s="1">
        <v>152630.17000000001</v>
      </c>
      <c r="Z140" s="1">
        <v>0</v>
      </c>
    </row>
    <row r="141" spans="1:26" x14ac:dyDescent="0.35">
      <c r="A141">
        <v>139</v>
      </c>
      <c r="B141">
        <v>1307</v>
      </c>
      <c r="C141" t="s">
        <v>155</v>
      </c>
      <c r="D141">
        <v>911312</v>
      </c>
      <c r="E141" t="s">
        <v>128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109211.83</v>
      </c>
      <c r="T141" s="1">
        <v>109211.83</v>
      </c>
      <c r="U141" s="1">
        <v>0</v>
      </c>
      <c r="V141" s="1">
        <v>0</v>
      </c>
      <c r="W141" s="1">
        <v>0</v>
      </c>
      <c r="X141" s="1">
        <v>0</v>
      </c>
      <c r="Y141" s="1">
        <v>109211.83</v>
      </c>
      <c r="Z141" s="1">
        <v>0</v>
      </c>
    </row>
    <row r="142" spans="1:26" x14ac:dyDescent="0.35">
      <c r="A142">
        <v>140</v>
      </c>
      <c r="B142">
        <v>1307</v>
      </c>
      <c r="C142" t="s">
        <v>155</v>
      </c>
      <c r="D142">
        <v>911314</v>
      </c>
      <c r="E142" t="s">
        <v>129</v>
      </c>
      <c r="F142" s="1">
        <v>0</v>
      </c>
      <c r="G142" s="1">
        <v>27709.55</v>
      </c>
      <c r="H142" s="1">
        <v>27709.55</v>
      </c>
      <c r="I142" s="1">
        <v>0</v>
      </c>
      <c r="J142" s="1">
        <v>3976.63</v>
      </c>
      <c r="K142" s="1">
        <v>3976.63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2052.4</v>
      </c>
      <c r="T142" s="1">
        <v>2052.4</v>
      </c>
      <c r="U142" s="1">
        <v>0</v>
      </c>
      <c r="V142" s="1">
        <v>12939.04</v>
      </c>
      <c r="W142" s="1">
        <v>12939.04</v>
      </c>
      <c r="X142" s="1">
        <v>0</v>
      </c>
      <c r="Y142" s="1">
        <v>46677.62</v>
      </c>
      <c r="Z142" s="1">
        <v>27709.55</v>
      </c>
    </row>
    <row r="143" spans="1:26" x14ac:dyDescent="0.35">
      <c r="A143">
        <v>141</v>
      </c>
      <c r="B143">
        <v>1307</v>
      </c>
      <c r="C143" t="s">
        <v>155</v>
      </c>
      <c r="D143">
        <v>911315</v>
      </c>
      <c r="E143" t="s">
        <v>130</v>
      </c>
      <c r="F143" s="1">
        <v>0</v>
      </c>
      <c r="G143" s="1">
        <v>17783.12</v>
      </c>
      <c r="H143" s="1">
        <v>17783.12</v>
      </c>
      <c r="I143" s="1">
        <v>0</v>
      </c>
      <c r="J143" s="1">
        <v>7881.65</v>
      </c>
      <c r="K143" s="1">
        <v>7881.65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11404.14</v>
      </c>
      <c r="W143" s="1">
        <v>11404.14</v>
      </c>
      <c r="X143" s="1">
        <v>0</v>
      </c>
      <c r="Y143" s="1">
        <v>37068.910000000003</v>
      </c>
      <c r="Z143" s="1">
        <v>17783.12</v>
      </c>
    </row>
    <row r="144" spans="1:26" x14ac:dyDescent="0.35">
      <c r="A144">
        <v>142</v>
      </c>
      <c r="B144">
        <v>1307</v>
      </c>
      <c r="C144" t="s">
        <v>155</v>
      </c>
      <c r="D144">
        <v>911316</v>
      </c>
      <c r="E144" t="s">
        <v>131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58870.67</v>
      </c>
      <c r="T144" s="1">
        <v>58870.67</v>
      </c>
      <c r="U144" s="1">
        <v>0</v>
      </c>
      <c r="V144" s="1">
        <v>0</v>
      </c>
      <c r="W144" s="1">
        <v>0</v>
      </c>
      <c r="X144" s="1">
        <v>0</v>
      </c>
      <c r="Y144" s="1">
        <v>58870.67</v>
      </c>
      <c r="Z144" s="1">
        <v>0</v>
      </c>
    </row>
    <row r="145" spans="1:26" x14ac:dyDescent="0.35">
      <c r="A145">
        <v>143</v>
      </c>
      <c r="B145">
        <v>1307</v>
      </c>
      <c r="C145" t="s">
        <v>155</v>
      </c>
      <c r="D145">
        <v>911317</v>
      </c>
      <c r="E145" t="s">
        <v>132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103950</v>
      </c>
      <c r="Q145" s="1">
        <v>103950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103950</v>
      </c>
      <c r="Z145" s="1">
        <v>0</v>
      </c>
    </row>
    <row r="146" spans="1:26" x14ac:dyDescent="0.35">
      <c r="A146">
        <v>144</v>
      </c>
      <c r="B146">
        <v>1307</v>
      </c>
      <c r="C146" t="s">
        <v>155</v>
      </c>
      <c r="D146">
        <v>913113</v>
      </c>
      <c r="E146" t="s">
        <v>145</v>
      </c>
      <c r="F146" s="1">
        <v>0</v>
      </c>
      <c r="G146" s="1">
        <v>13537.8</v>
      </c>
      <c r="H146" s="1">
        <v>13537.8</v>
      </c>
      <c r="I146" s="1">
        <v>0</v>
      </c>
      <c r="J146" s="1">
        <v>30649.919999999998</v>
      </c>
      <c r="K146" s="1">
        <v>30649.919999999998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44187.72</v>
      </c>
      <c r="Z146" s="1">
        <v>13537.8</v>
      </c>
    </row>
    <row r="147" spans="1:26" x14ac:dyDescent="0.35">
      <c r="A147">
        <v>145</v>
      </c>
      <c r="B147">
        <v>1307</v>
      </c>
      <c r="C147" t="s">
        <v>155</v>
      </c>
      <c r="D147">
        <v>913922</v>
      </c>
      <c r="E147" t="s">
        <v>134</v>
      </c>
      <c r="F147" s="1">
        <v>0</v>
      </c>
      <c r="G147" s="1">
        <v>704</v>
      </c>
      <c r="H147" s="1">
        <v>704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704</v>
      </c>
      <c r="Z147" s="1">
        <v>704</v>
      </c>
    </row>
    <row r="148" spans="1:26" x14ac:dyDescent="0.35">
      <c r="A148">
        <v>146</v>
      </c>
      <c r="B148">
        <v>1308</v>
      </c>
      <c r="C148" t="s">
        <v>156</v>
      </c>
      <c r="D148">
        <v>911411</v>
      </c>
      <c r="E148" t="s">
        <v>136</v>
      </c>
      <c r="F148" s="1">
        <v>0</v>
      </c>
      <c r="G148" s="1">
        <v>0</v>
      </c>
      <c r="H148" s="1">
        <v>0</v>
      </c>
      <c r="I148" s="1">
        <v>0</v>
      </c>
      <c r="J148" s="1">
        <v>18915.599999999999</v>
      </c>
      <c r="K148" s="1">
        <v>18915.599999999999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18915.599999999999</v>
      </c>
      <c r="Z148" s="1">
        <v>0</v>
      </c>
    </row>
    <row r="149" spans="1:26" x14ac:dyDescent="0.35">
      <c r="A149">
        <v>147</v>
      </c>
      <c r="B149">
        <v>1308</v>
      </c>
      <c r="C149" t="s">
        <v>156</v>
      </c>
      <c r="D149">
        <v>912511</v>
      </c>
      <c r="E149" t="s">
        <v>138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</row>
    <row r="150" spans="1:26" x14ac:dyDescent="0.35">
      <c r="A150">
        <v>148</v>
      </c>
      <c r="B150">
        <v>1308</v>
      </c>
      <c r="C150" t="s">
        <v>156</v>
      </c>
      <c r="D150">
        <v>913112</v>
      </c>
      <c r="E150" t="s">
        <v>125</v>
      </c>
      <c r="F150" s="1">
        <v>0</v>
      </c>
      <c r="G150" s="1">
        <v>1412.08</v>
      </c>
      <c r="H150" s="1">
        <v>1412.08</v>
      </c>
      <c r="I150" s="1">
        <v>0</v>
      </c>
      <c r="J150" s="1">
        <v>5401.26</v>
      </c>
      <c r="K150" s="1">
        <v>5401.26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267.39999999999998</v>
      </c>
      <c r="T150" s="1">
        <v>267.39999999999998</v>
      </c>
      <c r="U150" s="1">
        <v>0</v>
      </c>
      <c r="V150" s="1">
        <v>4890.75</v>
      </c>
      <c r="W150" s="1">
        <v>4890.75</v>
      </c>
      <c r="X150" s="1">
        <v>0</v>
      </c>
      <c r="Y150" s="1">
        <v>11971.49</v>
      </c>
      <c r="Z150" s="1">
        <v>1412.08</v>
      </c>
    </row>
    <row r="151" spans="1:26" x14ac:dyDescent="0.35">
      <c r="A151">
        <v>149</v>
      </c>
      <c r="B151">
        <v>1308</v>
      </c>
      <c r="C151" t="s">
        <v>156</v>
      </c>
      <c r="D151">
        <v>913291</v>
      </c>
      <c r="E151" t="s">
        <v>153</v>
      </c>
      <c r="F151" s="1">
        <v>0</v>
      </c>
      <c r="G151" s="1">
        <v>3867.91</v>
      </c>
      <c r="H151" s="1">
        <v>3867.91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3867.91</v>
      </c>
      <c r="Z151" s="1">
        <v>3867.91</v>
      </c>
    </row>
    <row r="152" spans="1:26" x14ac:dyDescent="0.35">
      <c r="A152">
        <v>150</v>
      </c>
      <c r="B152">
        <v>1308</v>
      </c>
      <c r="C152" t="s">
        <v>156</v>
      </c>
      <c r="D152">
        <v>913511</v>
      </c>
      <c r="E152" t="s">
        <v>139</v>
      </c>
      <c r="F152" s="1">
        <v>0</v>
      </c>
      <c r="G152" s="1">
        <v>30030.68</v>
      </c>
      <c r="H152" s="1">
        <v>30030.68</v>
      </c>
      <c r="I152" s="1">
        <v>0</v>
      </c>
      <c r="J152" s="1">
        <v>728.02</v>
      </c>
      <c r="K152" s="1">
        <v>728.02</v>
      </c>
      <c r="L152" s="1">
        <v>0</v>
      </c>
      <c r="M152" s="1">
        <v>36528.86</v>
      </c>
      <c r="N152" s="1">
        <v>36528.86</v>
      </c>
      <c r="O152" s="1">
        <v>0</v>
      </c>
      <c r="P152" s="1">
        <v>36718.800000000003</v>
      </c>
      <c r="Q152" s="1">
        <v>36718.800000000003</v>
      </c>
      <c r="R152" s="1">
        <v>0</v>
      </c>
      <c r="S152" s="1">
        <v>36308.92</v>
      </c>
      <c r="T152" s="1">
        <v>36308.92</v>
      </c>
      <c r="U152" s="1">
        <v>0</v>
      </c>
      <c r="V152" s="1">
        <v>35509.17</v>
      </c>
      <c r="W152" s="1">
        <v>35509.17</v>
      </c>
      <c r="X152" s="1">
        <v>0</v>
      </c>
      <c r="Y152" s="1">
        <v>175824.45</v>
      </c>
      <c r="Z152" s="1">
        <v>30030.68</v>
      </c>
    </row>
    <row r="153" spans="1:26" x14ac:dyDescent="0.35">
      <c r="A153">
        <v>151</v>
      </c>
      <c r="B153">
        <v>1308</v>
      </c>
      <c r="C153" t="s">
        <v>156</v>
      </c>
      <c r="D153">
        <v>913531</v>
      </c>
      <c r="E153" t="s">
        <v>126</v>
      </c>
      <c r="F153" s="1">
        <v>0</v>
      </c>
      <c r="G153" s="1">
        <v>7674.9</v>
      </c>
      <c r="H153" s="1">
        <v>7674.9</v>
      </c>
      <c r="I153" s="1">
        <v>0</v>
      </c>
      <c r="J153" s="1">
        <v>8969.99</v>
      </c>
      <c r="K153" s="1">
        <v>8969.99</v>
      </c>
      <c r="L153" s="1">
        <v>0</v>
      </c>
      <c r="M153" s="1">
        <v>5685.41</v>
      </c>
      <c r="N153" s="1">
        <v>5685.41</v>
      </c>
      <c r="O153" s="1">
        <v>0</v>
      </c>
      <c r="P153" s="1">
        <v>525</v>
      </c>
      <c r="Q153" s="1">
        <v>525</v>
      </c>
      <c r="R153" s="1">
        <v>0</v>
      </c>
      <c r="S153" s="1">
        <v>6215.6</v>
      </c>
      <c r="T153" s="1">
        <v>6215.6</v>
      </c>
      <c r="U153" s="1">
        <v>0</v>
      </c>
      <c r="V153" s="1">
        <v>3492.32</v>
      </c>
      <c r="W153" s="1">
        <v>3492.32</v>
      </c>
      <c r="X153" s="1">
        <v>0</v>
      </c>
      <c r="Y153" s="1">
        <v>32563.22</v>
      </c>
      <c r="Z153" s="1">
        <v>7674.9</v>
      </c>
    </row>
    <row r="154" spans="1:26" x14ac:dyDescent="0.35">
      <c r="A154">
        <v>152</v>
      </c>
      <c r="B154">
        <v>1308</v>
      </c>
      <c r="C154" t="s">
        <v>156</v>
      </c>
      <c r="D154">
        <v>913561</v>
      </c>
      <c r="E154" t="s">
        <v>127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</row>
    <row r="155" spans="1:26" x14ac:dyDescent="0.35">
      <c r="A155">
        <v>153</v>
      </c>
      <c r="B155">
        <v>1308</v>
      </c>
      <c r="C155" t="s">
        <v>156</v>
      </c>
      <c r="D155">
        <v>913631</v>
      </c>
      <c r="E155" t="s">
        <v>89</v>
      </c>
      <c r="F155" s="1">
        <v>0</v>
      </c>
      <c r="G155" s="1">
        <v>14652.05</v>
      </c>
      <c r="H155" s="1">
        <v>14652.05</v>
      </c>
      <c r="I155" s="1">
        <v>0</v>
      </c>
      <c r="J155" s="1">
        <v>2279.46</v>
      </c>
      <c r="K155" s="1">
        <v>2279.46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13481.91</v>
      </c>
      <c r="W155" s="1">
        <v>13481.91</v>
      </c>
      <c r="X155" s="1">
        <v>0</v>
      </c>
      <c r="Y155" s="1">
        <v>30413.42</v>
      </c>
      <c r="Z155" s="1">
        <v>14652.05</v>
      </c>
    </row>
    <row r="156" spans="1:26" x14ac:dyDescent="0.35">
      <c r="A156">
        <v>154</v>
      </c>
      <c r="B156">
        <v>1308</v>
      </c>
      <c r="C156" t="s">
        <v>156</v>
      </c>
      <c r="D156">
        <v>913721</v>
      </c>
      <c r="E156" t="s">
        <v>141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</row>
    <row r="157" spans="1:26" x14ac:dyDescent="0.35">
      <c r="A157">
        <v>155</v>
      </c>
      <c r="B157">
        <v>1308</v>
      </c>
      <c r="C157" t="s">
        <v>156</v>
      </c>
      <c r="D157">
        <v>915611</v>
      </c>
      <c r="E157" t="s">
        <v>154</v>
      </c>
      <c r="F157" s="1">
        <v>0</v>
      </c>
      <c r="G157" s="1">
        <v>1084.8499999999999</v>
      </c>
      <c r="H157" s="1">
        <v>1084.8499999999999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1084.8499999999999</v>
      </c>
      <c r="Z157" s="1">
        <v>1084.8499999999999</v>
      </c>
    </row>
    <row r="158" spans="1:26" x14ac:dyDescent="0.35">
      <c r="A158">
        <v>156</v>
      </c>
      <c r="B158">
        <v>1308</v>
      </c>
      <c r="C158" t="s">
        <v>156</v>
      </c>
      <c r="D158">
        <v>923112</v>
      </c>
      <c r="E158" t="s">
        <v>125</v>
      </c>
      <c r="F158" s="1">
        <v>0</v>
      </c>
      <c r="G158" s="1">
        <v>0</v>
      </c>
      <c r="H158" s="1">
        <v>0</v>
      </c>
      <c r="I158" s="1">
        <v>0</v>
      </c>
      <c r="J158" s="1">
        <v>715</v>
      </c>
      <c r="K158" s="1">
        <v>715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715</v>
      </c>
      <c r="Z158" s="1">
        <v>0</v>
      </c>
    </row>
    <row r="159" spans="1:26" x14ac:dyDescent="0.35">
      <c r="A159">
        <v>157</v>
      </c>
      <c r="B159">
        <v>1308</v>
      </c>
      <c r="C159" t="s">
        <v>156</v>
      </c>
      <c r="D159">
        <v>9112111</v>
      </c>
      <c r="E159" t="s">
        <v>147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71860.929999999993</v>
      </c>
      <c r="W159" s="1">
        <v>71860.929999999993</v>
      </c>
      <c r="X159" s="1">
        <v>0</v>
      </c>
      <c r="Y159" s="1">
        <v>71860.929999999993</v>
      </c>
      <c r="Z159" s="1">
        <v>0</v>
      </c>
    </row>
    <row r="160" spans="1:26" x14ac:dyDescent="0.35">
      <c r="A160">
        <v>158</v>
      </c>
      <c r="B160">
        <v>1308</v>
      </c>
      <c r="C160" t="s">
        <v>156</v>
      </c>
      <c r="D160">
        <v>911312</v>
      </c>
      <c r="E160" t="s">
        <v>128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140616</v>
      </c>
      <c r="T160" s="1">
        <v>140616</v>
      </c>
      <c r="U160" s="1">
        <v>0</v>
      </c>
      <c r="V160" s="1">
        <v>0</v>
      </c>
      <c r="W160" s="1">
        <v>0</v>
      </c>
      <c r="X160" s="1">
        <v>0</v>
      </c>
      <c r="Y160" s="1">
        <v>140616</v>
      </c>
      <c r="Z160" s="1">
        <v>0</v>
      </c>
    </row>
    <row r="161" spans="1:26" x14ac:dyDescent="0.35">
      <c r="A161">
        <v>159</v>
      </c>
      <c r="B161">
        <v>1308</v>
      </c>
      <c r="C161" t="s">
        <v>156</v>
      </c>
      <c r="D161">
        <v>911314</v>
      </c>
      <c r="E161" t="s">
        <v>129</v>
      </c>
      <c r="F161" s="1">
        <v>0</v>
      </c>
      <c r="G161" s="1">
        <v>32894.33</v>
      </c>
      <c r="H161" s="1">
        <v>32894.33</v>
      </c>
      <c r="I161" s="1">
        <v>0</v>
      </c>
      <c r="J161" s="1">
        <v>22286.74</v>
      </c>
      <c r="K161" s="1">
        <v>22286.74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7342.36</v>
      </c>
      <c r="W161" s="1">
        <v>7342.36</v>
      </c>
      <c r="X161" s="1">
        <v>0</v>
      </c>
      <c r="Y161" s="1">
        <v>62523.43</v>
      </c>
      <c r="Z161" s="1">
        <v>32894.33</v>
      </c>
    </row>
    <row r="162" spans="1:26" x14ac:dyDescent="0.35">
      <c r="A162">
        <v>160</v>
      </c>
      <c r="B162">
        <v>1308</v>
      </c>
      <c r="C162" t="s">
        <v>156</v>
      </c>
      <c r="D162">
        <v>911315</v>
      </c>
      <c r="E162" t="s">
        <v>130</v>
      </c>
      <c r="F162" s="1">
        <v>0</v>
      </c>
      <c r="G162" s="1">
        <v>41901.89</v>
      </c>
      <c r="H162" s="1">
        <v>41901.89</v>
      </c>
      <c r="I162" s="1">
        <v>0</v>
      </c>
      <c r="J162" s="1">
        <v>44904.15</v>
      </c>
      <c r="K162" s="1">
        <v>44904.15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4062.28</v>
      </c>
      <c r="W162" s="1">
        <v>4062.28</v>
      </c>
      <c r="X162" s="1">
        <v>0</v>
      </c>
      <c r="Y162" s="1">
        <v>90868.32</v>
      </c>
      <c r="Z162" s="1">
        <v>41901.89</v>
      </c>
    </row>
    <row r="163" spans="1:26" x14ac:dyDescent="0.35">
      <c r="A163">
        <v>161</v>
      </c>
      <c r="B163">
        <v>1308</v>
      </c>
      <c r="C163" t="s">
        <v>156</v>
      </c>
      <c r="D163">
        <v>911316</v>
      </c>
      <c r="E163" t="s">
        <v>131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31650.9</v>
      </c>
      <c r="T163" s="1">
        <v>31650.9</v>
      </c>
      <c r="U163" s="1">
        <v>0</v>
      </c>
      <c r="V163" s="1">
        <v>56670.34</v>
      </c>
      <c r="W163" s="1">
        <v>56670.34</v>
      </c>
      <c r="X163" s="1">
        <v>0</v>
      </c>
      <c r="Y163" s="1">
        <v>88321.24</v>
      </c>
      <c r="Z163" s="1">
        <v>0</v>
      </c>
    </row>
    <row r="164" spans="1:26" x14ac:dyDescent="0.35">
      <c r="A164">
        <v>162</v>
      </c>
      <c r="B164">
        <v>1308</v>
      </c>
      <c r="C164" t="s">
        <v>156</v>
      </c>
      <c r="D164">
        <v>911317</v>
      </c>
      <c r="E164" t="s">
        <v>132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62370</v>
      </c>
      <c r="Q164" s="1">
        <v>62370</v>
      </c>
      <c r="R164" s="1">
        <v>0</v>
      </c>
      <c r="S164" s="1">
        <v>94000.5</v>
      </c>
      <c r="T164" s="1">
        <v>94000.5</v>
      </c>
      <c r="U164" s="1">
        <v>0</v>
      </c>
      <c r="V164" s="1">
        <v>0</v>
      </c>
      <c r="W164" s="1">
        <v>0</v>
      </c>
      <c r="X164" s="1">
        <v>0</v>
      </c>
      <c r="Y164" s="1">
        <v>156370.5</v>
      </c>
      <c r="Z164" s="1">
        <v>0</v>
      </c>
    </row>
    <row r="165" spans="1:26" x14ac:dyDescent="0.35">
      <c r="A165">
        <v>163</v>
      </c>
      <c r="B165">
        <v>1308</v>
      </c>
      <c r="C165" t="s">
        <v>156</v>
      </c>
      <c r="D165">
        <v>913113</v>
      </c>
      <c r="E165" t="s">
        <v>145</v>
      </c>
      <c r="F165" s="1">
        <v>0</v>
      </c>
      <c r="G165" s="1">
        <v>0</v>
      </c>
      <c r="H165" s="1">
        <v>0</v>
      </c>
      <c r="I165" s="1">
        <v>0</v>
      </c>
      <c r="J165" s="1">
        <v>27813.96</v>
      </c>
      <c r="K165" s="1">
        <v>27813.96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27813.96</v>
      </c>
      <c r="Z165" s="1">
        <v>0</v>
      </c>
    </row>
    <row r="166" spans="1:26" x14ac:dyDescent="0.35">
      <c r="A166">
        <v>164</v>
      </c>
      <c r="B166">
        <v>1308</v>
      </c>
      <c r="C166" t="s">
        <v>156</v>
      </c>
      <c r="D166">
        <v>913922</v>
      </c>
      <c r="E166" t="s">
        <v>134</v>
      </c>
      <c r="F166" s="1">
        <v>0</v>
      </c>
      <c r="G166" s="1">
        <v>2139</v>
      </c>
      <c r="H166" s="1">
        <v>2139</v>
      </c>
      <c r="I166" s="1">
        <v>0</v>
      </c>
      <c r="J166" s="1">
        <v>7755</v>
      </c>
      <c r="K166" s="1">
        <v>7755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9894</v>
      </c>
      <c r="Z166" s="1">
        <v>2139</v>
      </c>
    </row>
    <row r="167" spans="1:26" x14ac:dyDescent="0.35">
      <c r="A167">
        <v>165</v>
      </c>
      <c r="B167">
        <v>1320</v>
      </c>
      <c r="C167" t="s">
        <v>157</v>
      </c>
      <c r="D167">
        <v>911311</v>
      </c>
      <c r="E167" t="s">
        <v>124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</row>
    <row r="168" spans="1:26" x14ac:dyDescent="0.35">
      <c r="A168">
        <v>166</v>
      </c>
      <c r="B168">
        <v>1320</v>
      </c>
      <c r="C168" t="s">
        <v>157</v>
      </c>
      <c r="D168">
        <v>913531</v>
      </c>
      <c r="E168" t="s">
        <v>126</v>
      </c>
      <c r="F168" s="1">
        <v>0</v>
      </c>
      <c r="G168" s="1">
        <v>489.1</v>
      </c>
      <c r="H168" s="1">
        <v>489.1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201</v>
      </c>
      <c r="T168" s="1">
        <v>201</v>
      </c>
      <c r="U168" s="1">
        <v>0</v>
      </c>
      <c r="V168" s="1">
        <v>268</v>
      </c>
      <c r="W168" s="1">
        <v>268</v>
      </c>
      <c r="X168" s="1">
        <v>0</v>
      </c>
      <c r="Y168" s="1">
        <v>958.1</v>
      </c>
      <c r="Z168" s="1">
        <v>489.1</v>
      </c>
    </row>
    <row r="169" spans="1:26" x14ac:dyDescent="0.35">
      <c r="A169">
        <v>167</v>
      </c>
      <c r="B169">
        <v>1320</v>
      </c>
      <c r="C169" t="s">
        <v>157</v>
      </c>
      <c r="D169">
        <v>911314</v>
      </c>
      <c r="E169" t="s">
        <v>129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282.08</v>
      </c>
      <c r="W169" s="1">
        <v>282.08</v>
      </c>
      <c r="X169" s="1">
        <v>0</v>
      </c>
      <c r="Y169" s="1">
        <v>282.08</v>
      </c>
      <c r="Z169" s="1">
        <v>0</v>
      </c>
    </row>
    <row r="170" spans="1:26" x14ac:dyDescent="0.35">
      <c r="A170">
        <v>168</v>
      </c>
      <c r="B170">
        <v>1320</v>
      </c>
      <c r="C170" t="s">
        <v>157</v>
      </c>
      <c r="D170">
        <v>911315</v>
      </c>
      <c r="E170" t="s">
        <v>130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656.64</v>
      </c>
      <c r="Q170" s="1">
        <v>656.64</v>
      </c>
      <c r="R170" s="1">
        <v>0</v>
      </c>
      <c r="S170" s="1">
        <v>632.69000000000005</v>
      </c>
      <c r="T170" s="1">
        <v>632.69000000000005</v>
      </c>
      <c r="U170" s="1">
        <v>0</v>
      </c>
      <c r="V170" s="1">
        <v>12727.1</v>
      </c>
      <c r="W170" s="1">
        <v>12727.1</v>
      </c>
      <c r="X170" s="1">
        <v>0</v>
      </c>
      <c r="Y170" s="1">
        <v>14016.43</v>
      </c>
      <c r="Z170" s="1">
        <v>0</v>
      </c>
    </row>
    <row r="171" spans="1:26" x14ac:dyDescent="0.35">
      <c r="A171">
        <v>169</v>
      </c>
      <c r="B171">
        <v>1320</v>
      </c>
      <c r="C171" t="s">
        <v>157</v>
      </c>
      <c r="D171">
        <v>911316</v>
      </c>
      <c r="E171" t="s">
        <v>131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12.77</v>
      </c>
      <c r="N171" s="1">
        <v>12.77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12.77</v>
      </c>
      <c r="Z171" s="1">
        <v>0</v>
      </c>
    </row>
    <row r="172" spans="1:26" x14ac:dyDescent="0.35">
      <c r="A172">
        <v>170</v>
      </c>
      <c r="B172">
        <v>1321</v>
      </c>
      <c r="C172" t="s">
        <v>158</v>
      </c>
      <c r="D172">
        <v>913112</v>
      </c>
      <c r="E172" t="s">
        <v>125</v>
      </c>
      <c r="F172" s="1">
        <v>0</v>
      </c>
      <c r="G172" s="1">
        <v>29.25</v>
      </c>
      <c r="H172" s="1">
        <v>29.25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29.25</v>
      </c>
      <c r="Z172" s="1">
        <v>29.25</v>
      </c>
    </row>
    <row r="173" spans="1:26" x14ac:dyDescent="0.35">
      <c r="A173">
        <v>171</v>
      </c>
      <c r="B173">
        <v>1321</v>
      </c>
      <c r="C173" t="s">
        <v>158</v>
      </c>
      <c r="D173">
        <v>913531</v>
      </c>
      <c r="E173" t="s">
        <v>126</v>
      </c>
      <c r="F173" s="1">
        <v>0</v>
      </c>
      <c r="G173" s="1">
        <v>747.05</v>
      </c>
      <c r="H173" s="1">
        <v>747.05</v>
      </c>
      <c r="I173" s="1">
        <v>0</v>
      </c>
      <c r="J173" s="1">
        <v>67</v>
      </c>
      <c r="K173" s="1">
        <v>67</v>
      </c>
      <c r="L173" s="1">
        <v>0</v>
      </c>
      <c r="M173" s="1">
        <v>67</v>
      </c>
      <c r="N173" s="1">
        <v>67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603</v>
      </c>
      <c r="W173" s="1">
        <v>603</v>
      </c>
      <c r="X173" s="1">
        <v>0</v>
      </c>
      <c r="Y173" s="1">
        <v>1484.05</v>
      </c>
      <c r="Z173" s="1">
        <v>747.05</v>
      </c>
    </row>
    <row r="174" spans="1:26" x14ac:dyDescent="0.35">
      <c r="A174">
        <v>172</v>
      </c>
      <c r="B174">
        <v>1321</v>
      </c>
      <c r="C174" t="s">
        <v>158</v>
      </c>
      <c r="D174">
        <v>911314</v>
      </c>
      <c r="E174" t="s">
        <v>129</v>
      </c>
      <c r="F174" s="1">
        <v>0</v>
      </c>
      <c r="G174" s="1">
        <v>499.87</v>
      </c>
      <c r="H174" s="1">
        <v>499.87</v>
      </c>
      <c r="I174" s="1">
        <v>0</v>
      </c>
      <c r="J174" s="1">
        <v>514.54</v>
      </c>
      <c r="K174" s="1">
        <v>514.54</v>
      </c>
      <c r="L174" s="1">
        <v>0</v>
      </c>
      <c r="M174" s="1">
        <v>373.38</v>
      </c>
      <c r="N174" s="1">
        <v>373.38</v>
      </c>
      <c r="O174" s="1">
        <v>0</v>
      </c>
      <c r="P174" s="1">
        <v>653.11</v>
      </c>
      <c r="Q174" s="1">
        <v>653.11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2040.9</v>
      </c>
      <c r="Z174" s="1">
        <v>499.87</v>
      </c>
    </row>
    <row r="175" spans="1:26" x14ac:dyDescent="0.35">
      <c r="A175">
        <v>173</v>
      </c>
      <c r="B175">
        <v>1321</v>
      </c>
      <c r="C175" t="s">
        <v>158</v>
      </c>
      <c r="D175">
        <v>911315</v>
      </c>
      <c r="E175" t="s">
        <v>130</v>
      </c>
      <c r="F175" s="1">
        <v>0</v>
      </c>
      <c r="G175" s="1">
        <v>1523.86</v>
      </c>
      <c r="H175" s="1">
        <v>1523.86</v>
      </c>
      <c r="I175" s="1">
        <v>0</v>
      </c>
      <c r="J175" s="1">
        <v>1823.27</v>
      </c>
      <c r="K175" s="1">
        <v>1823.27</v>
      </c>
      <c r="L175" s="1">
        <v>0</v>
      </c>
      <c r="M175" s="1">
        <v>375.15</v>
      </c>
      <c r="N175" s="1">
        <v>375.15</v>
      </c>
      <c r="O175" s="1">
        <v>0</v>
      </c>
      <c r="P175" s="1">
        <v>539.76</v>
      </c>
      <c r="Q175" s="1">
        <v>539.76</v>
      </c>
      <c r="R175" s="1">
        <v>0</v>
      </c>
      <c r="S175" s="1">
        <v>451.88</v>
      </c>
      <c r="T175" s="1">
        <v>451.88</v>
      </c>
      <c r="U175" s="1">
        <v>0</v>
      </c>
      <c r="V175" s="1">
        <v>128.87</v>
      </c>
      <c r="W175" s="1">
        <v>128.87</v>
      </c>
      <c r="X175" s="1">
        <v>0</v>
      </c>
      <c r="Y175" s="1">
        <v>4842.79</v>
      </c>
      <c r="Z175" s="1">
        <v>1523.86</v>
      </c>
    </row>
    <row r="176" spans="1:26" x14ac:dyDescent="0.35">
      <c r="A176">
        <v>174</v>
      </c>
      <c r="B176">
        <v>1322</v>
      </c>
      <c r="C176" t="s">
        <v>159</v>
      </c>
      <c r="D176">
        <v>911311</v>
      </c>
      <c r="E176" t="s">
        <v>124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</row>
    <row r="177" spans="1:26" x14ac:dyDescent="0.35">
      <c r="A177">
        <v>175</v>
      </c>
      <c r="B177">
        <v>1322</v>
      </c>
      <c r="C177" t="s">
        <v>159</v>
      </c>
      <c r="D177">
        <v>913112</v>
      </c>
      <c r="E177" t="s">
        <v>125</v>
      </c>
      <c r="F177" s="1">
        <v>0</v>
      </c>
      <c r="G177" s="1">
        <v>33.43</v>
      </c>
      <c r="H177" s="1">
        <v>33.43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33.43</v>
      </c>
      <c r="Z177" s="1">
        <v>33.43</v>
      </c>
    </row>
    <row r="178" spans="1:26" x14ac:dyDescent="0.35">
      <c r="A178">
        <v>176</v>
      </c>
      <c r="B178">
        <v>1322</v>
      </c>
      <c r="C178" t="s">
        <v>159</v>
      </c>
      <c r="D178">
        <v>913531</v>
      </c>
      <c r="E178" t="s">
        <v>126</v>
      </c>
      <c r="F178" s="1">
        <v>0</v>
      </c>
      <c r="G178" s="1">
        <v>1273</v>
      </c>
      <c r="H178" s="1">
        <v>1273</v>
      </c>
      <c r="I178" s="1">
        <v>0</v>
      </c>
      <c r="J178" s="1">
        <v>502.5</v>
      </c>
      <c r="K178" s="1">
        <v>502.5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971.5</v>
      </c>
      <c r="W178" s="1">
        <v>971.5</v>
      </c>
      <c r="X178" s="1">
        <v>0</v>
      </c>
      <c r="Y178" s="1">
        <v>2747</v>
      </c>
      <c r="Z178" s="1">
        <v>1273</v>
      </c>
    </row>
    <row r="179" spans="1:26" x14ac:dyDescent="0.35">
      <c r="A179">
        <v>177</v>
      </c>
      <c r="B179">
        <v>1322</v>
      </c>
      <c r="C179" t="s">
        <v>159</v>
      </c>
      <c r="D179">
        <v>911314</v>
      </c>
      <c r="E179" t="s">
        <v>129</v>
      </c>
      <c r="F179" s="1">
        <v>0</v>
      </c>
      <c r="G179" s="1">
        <v>788.28</v>
      </c>
      <c r="H179" s="1">
        <v>788.28</v>
      </c>
      <c r="I179" s="1">
        <v>0</v>
      </c>
      <c r="J179" s="1">
        <v>922.57</v>
      </c>
      <c r="K179" s="1">
        <v>922.57</v>
      </c>
      <c r="L179" s="1">
        <v>0</v>
      </c>
      <c r="M179" s="1">
        <v>774.72</v>
      </c>
      <c r="N179" s="1">
        <v>774.72</v>
      </c>
      <c r="O179" s="1">
        <v>0</v>
      </c>
      <c r="P179" s="1">
        <v>486.93</v>
      </c>
      <c r="Q179" s="1">
        <v>486.93</v>
      </c>
      <c r="R179" s="1">
        <v>0</v>
      </c>
      <c r="S179" s="1">
        <v>0</v>
      </c>
      <c r="T179" s="1">
        <v>0</v>
      </c>
      <c r="U179" s="1">
        <v>0</v>
      </c>
      <c r="V179" s="1">
        <v>1025.6199999999999</v>
      </c>
      <c r="W179" s="1">
        <v>1025.6199999999999</v>
      </c>
      <c r="X179" s="1">
        <v>0</v>
      </c>
      <c r="Y179" s="1">
        <v>3998.12</v>
      </c>
      <c r="Z179" s="1">
        <v>788.28</v>
      </c>
    </row>
    <row r="180" spans="1:26" x14ac:dyDescent="0.35">
      <c r="A180">
        <v>178</v>
      </c>
      <c r="B180">
        <v>1322</v>
      </c>
      <c r="C180" t="s">
        <v>159</v>
      </c>
      <c r="D180">
        <v>911315</v>
      </c>
      <c r="E180" t="s">
        <v>130</v>
      </c>
      <c r="F180" s="1">
        <v>0</v>
      </c>
      <c r="G180" s="1">
        <v>2464.4</v>
      </c>
      <c r="H180" s="1">
        <v>2464.4</v>
      </c>
      <c r="I180" s="1">
        <v>0</v>
      </c>
      <c r="J180" s="1">
        <v>3029.9</v>
      </c>
      <c r="K180" s="1">
        <v>3029.9</v>
      </c>
      <c r="L180" s="1">
        <v>0</v>
      </c>
      <c r="M180" s="1">
        <v>1651.66</v>
      </c>
      <c r="N180" s="1">
        <v>1651.66</v>
      </c>
      <c r="O180" s="1">
        <v>0</v>
      </c>
      <c r="P180" s="1">
        <v>2349.25</v>
      </c>
      <c r="Q180" s="1">
        <v>2349.25</v>
      </c>
      <c r="R180" s="1">
        <v>0</v>
      </c>
      <c r="S180" s="1">
        <v>2830.38</v>
      </c>
      <c r="T180" s="1">
        <v>2830.38</v>
      </c>
      <c r="U180" s="1">
        <v>0</v>
      </c>
      <c r="V180" s="1">
        <v>1170.75</v>
      </c>
      <c r="W180" s="1">
        <v>1170.75</v>
      </c>
      <c r="X180" s="1">
        <v>0</v>
      </c>
      <c r="Y180" s="1">
        <v>13496.34</v>
      </c>
      <c r="Z180" s="1">
        <v>2464.4</v>
      </c>
    </row>
    <row r="181" spans="1:26" x14ac:dyDescent="0.35">
      <c r="A181">
        <v>179</v>
      </c>
      <c r="B181">
        <v>1322</v>
      </c>
      <c r="C181" t="s">
        <v>159</v>
      </c>
      <c r="D181">
        <v>911316</v>
      </c>
      <c r="E181" t="s">
        <v>131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</row>
    <row r="182" spans="1:26" x14ac:dyDescent="0.35">
      <c r="A182">
        <v>180</v>
      </c>
      <c r="B182">
        <v>1323</v>
      </c>
      <c r="C182" t="s">
        <v>160</v>
      </c>
      <c r="D182">
        <v>928411</v>
      </c>
      <c r="E182" t="s">
        <v>161</v>
      </c>
      <c r="F182" s="1">
        <v>0</v>
      </c>
      <c r="G182" s="1">
        <v>188.69</v>
      </c>
      <c r="H182" s="1">
        <v>188.69</v>
      </c>
      <c r="I182" s="1">
        <v>0</v>
      </c>
      <c r="J182" s="1">
        <v>188.69</v>
      </c>
      <c r="K182" s="1">
        <v>188.69</v>
      </c>
      <c r="L182" s="1">
        <v>0</v>
      </c>
      <c r="M182" s="1">
        <v>188.69</v>
      </c>
      <c r="N182" s="1">
        <v>188.69</v>
      </c>
      <c r="O182" s="1">
        <v>0</v>
      </c>
      <c r="P182" s="1">
        <v>188.69</v>
      </c>
      <c r="Q182" s="1">
        <v>188.69</v>
      </c>
      <c r="R182" s="1">
        <v>0</v>
      </c>
      <c r="S182" s="1">
        <v>188.69</v>
      </c>
      <c r="T182" s="1">
        <v>188.69</v>
      </c>
      <c r="U182" s="1">
        <v>0</v>
      </c>
      <c r="V182" s="1">
        <v>188.69</v>
      </c>
      <c r="W182" s="1">
        <v>188.69</v>
      </c>
      <c r="X182" s="1">
        <v>0</v>
      </c>
      <c r="Y182" s="1">
        <v>1132.1400000000001</v>
      </c>
      <c r="Z182" s="1">
        <v>188.69</v>
      </c>
    </row>
    <row r="183" spans="1:26" x14ac:dyDescent="0.35">
      <c r="A183">
        <v>181</v>
      </c>
      <c r="B183">
        <v>1325</v>
      </c>
      <c r="C183" t="s">
        <v>162</v>
      </c>
      <c r="D183">
        <v>911316</v>
      </c>
      <c r="E183" t="s">
        <v>131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</row>
    <row r="184" spans="1:26" x14ac:dyDescent="0.35">
      <c r="A184">
        <v>182</v>
      </c>
      <c r="B184">
        <v>1325</v>
      </c>
      <c r="C184" t="s">
        <v>162</v>
      </c>
      <c r="D184">
        <v>911411</v>
      </c>
      <c r="E184" t="s">
        <v>136</v>
      </c>
      <c r="F184" s="1">
        <v>0</v>
      </c>
      <c r="G184" s="1">
        <v>8598</v>
      </c>
      <c r="H184" s="1">
        <v>8598</v>
      </c>
      <c r="I184" s="1">
        <v>0</v>
      </c>
      <c r="J184" s="1">
        <v>11177.4</v>
      </c>
      <c r="K184" s="1">
        <v>11177.4</v>
      </c>
      <c r="L184" s="1">
        <v>0</v>
      </c>
      <c r="M184" s="1">
        <v>5753.24</v>
      </c>
      <c r="N184" s="1">
        <v>5753.24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25528.639999999999</v>
      </c>
      <c r="Z184" s="1">
        <v>8598</v>
      </c>
    </row>
    <row r="185" spans="1:26" x14ac:dyDescent="0.35">
      <c r="A185">
        <v>183</v>
      </c>
      <c r="B185">
        <v>1325</v>
      </c>
      <c r="C185" t="s">
        <v>162</v>
      </c>
      <c r="D185">
        <v>913112</v>
      </c>
      <c r="E185" t="s">
        <v>125</v>
      </c>
      <c r="F185" s="1">
        <v>0</v>
      </c>
      <c r="G185" s="1">
        <v>7772.21</v>
      </c>
      <c r="H185" s="1">
        <v>7772.21</v>
      </c>
      <c r="I185" s="1">
        <v>0</v>
      </c>
      <c r="J185" s="1">
        <v>4060.46</v>
      </c>
      <c r="K185" s="1">
        <v>4060.46</v>
      </c>
      <c r="L185" s="1">
        <v>0</v>
      </c>
      <c r="M185" s="1">
        <v>6428.18</v>
      </c>
      <c r="N185" s="1">
        <v>6428.18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18260.849999999999</v>
      </c>
      <c r="Z185" s="1">
        <v>7772.21</v>
      </c>
    </row>
    <row r="186" spans="1:26" x14ac:dyDescent="0.35">
      <c r="A186">
        <v>184</v>
      </c>
      <c r="B186">
        <v>1325</v>
      </c>
      <c r="C186" t="s">
        <v>162</v>
      </c>
      <c r="D186">
        <v>913511</v>
      </c>
      <c r="E186" t="s">
        <v>139</v>
      </c>
      <c r="F186" s="1">
        <v>0</v>
      </c>
      <c r="G186" s="1">
        <v>46187</v>
      </c>
      <c r="H186" s="1">
        <v>46187</v>
      </c>
      <c r="I186" s="1">
        <v>0</v>
      </c>
      <c r="J186" s="1">
        <v>38327.9</v>
      </c>
      <c r="K186" s="1">
        <v>38327.9</v>
      </c>
      <c r="L186" s="1">
        <v>0</v>
      </c>
      <c r="M186" s="1">
        <v>27770.400000000001</v>
      </c>
      <c r="N186" s="1">
        <v>27770.400000000001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112285.3</v>
      </c>
      <c r="Z186" s="1">
        <v>46187</v>
      </c>
    </row>
    <row r="187" spans="1:26" x14ac:dyDescent="0.35">
      <c r="A187">
        <v>185</v>
      </c>
      <c r="B187">
        <v>1325</v>
      </c>
      <c r="C187" t="s">
        <v>162</v>
      </c>
      <c r="D187">
        <v>913531</v>
      </c>
      <c r="E187" t="s">
        <v>126</v>
      </c>
      <c r="F187" s="1">
        <v>0</v>
      </c>
      <c r="G187" s="1">
        <v>21956.799999999999</v>
      </c>
      <c r="H187" s="1">
        <v>21956.799999999999</v>
      </c>
      <c r="I187" s="1">
        <v>0</v>
      </c>
      <c r="J187" s="1">
        <v>7110.04</v>
      </c>
      <c r="K187" s="1">
        <v>7110.04</v>
      </c>
      <c r="L187" s="1">
        <v>0</v>
      </c>
      <c r="M187" s="1">
        <v>25564.68</v>
      </c>
      <c r="N187" s="1">
        <v>25564.68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1966.92</v>
      </c>
      <c r="W187" s="1">
        <v>1966.92</v>
      </c>
      <c r="X187" s="1">
        <v>0</v>
      </c>
      <c r="Y187" s="1">
        <v>56598.44</v>
      </c>
      <c r="Z187" s="1">
        <v>21956.799999999999</v>
      </c>
    </row>
    <row r="188" spans="1:26" x14ac:dyDescent="0.35">
      <c r="A188">
        <v>186</v>
      </c>
      <c r="B188">
        <v>1325</v>
      </c>
      <c r="C188" t="s">
        <v>162</v>
      </c>
      <c r="D188">
        <v>913561</v>
      </c>
      <c r="E188" t="s">
        <v>127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</row>
    <row r="189" spans="1:26" x14ac:dyDescent="0.35">
      <c r="A189">
        <v>187</v>
      </c>
      <c r="B189">
        <v>1325</v>
      </c>
      <c r="C189" t="s">
        <v>162</v>
      </c>
      <c r="D189">
        <v>913631</v>
      </c>
      <c r="E189" t="s">
        <v>89</v>
      </c>
      <c r="F189" s="1">
        <v>0</v>
      </c>
      <c r="G189" s="1">
        <v>17587.080000000002</v>
      </c>
      <c r="H189" s="1">
        <v>17587.080000000002</v>
      </c>
      <c r="I189" s="1">
        <v>0</v>
      </c>
      <c r="J189" s="1">
        <v>32668.97</v>
      </c>
      <c r="K189" s="1">
        <v>32668.97</v>
      </c>
      <c r="L189" s="1">
        <v>0</v>
      </c>
      <c r="M189" s="1">
        <v>10572.28</v>
      </c>
      <c r="N189" s="1">
        <v>10572.28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60828.33</v>
      </c>
      <c r="Z189" s="1">
        <v>17587.080000000002</v>
      </c>
    </row>
    <row r="190" spans="1:26" x14ac:dyDescent="0.35">
      <c r="A190">
        <v>188</v>
      </c>
      <c r="B190">
        <v>1325</v>
      </c>
      <c r="C190" t="s">
        <v>162</v>
      </c>
      <c r="D190">
        <v>913721</v>
      </c>
      <c r="E190" t="s">
        <v>141</v>
      </c>
      <c r="F190" s="1">
        <v>0</v>
      </c>
      <c r="G190" s="1">
        <v>0</v>
      </c>
      <c r="H190" s="1">
        <v>0</v>
      </c>
      <c r="I190" s="1">
        <v>0</v>
      </c>
      <c r="J190" s="1">
        <v>1610.17</v>
      </c>
      <c r="K190" s="1">
        <v>1610.17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1610.17</v>
      </c>
      <c r="Z190" s="1">
        <v>0</v>
      </c>
    </row>
    <row r="191" spans="1:26" x14ac:dyDescent="0.35">
      <c r="A191">
        <v>189</v>
      </c>
      <c r="B191">
        <v>1325</v>
      </c>
      <c r="C191" t="s">
        <v>162</v>
      </c>
      <c r="D191">
        <v>9112111</v>
      </c>
      <c r="E191" t="s">
        <v>147</v>
      </c>
      <c r="F191" s="1">
        <v>0</v>
      </c>
      <c r="G191" s="1">
        <v>83820.45</v>
      </c>
      <c r="H191" s="1">
        <v>83820.45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83820.45</v>
      </c>
      <c r="Z191" s="1">
        <v>83820.45</v>
      </c>
    </row>
    <row r="192" spans="1:26" x14ac:dyDescent="0.35">
      <c r="A192">
        <v>190</v>
      </c>
      <c r="B192">
        <v>1325</v>
      </c>
      <c r="C192" t="s">
        <v>162</v>
      </c>
      <c r="D192">
        <v>911314</v>
      </c>
      <c r="E192" t="s">
        <v>129</v>
      </c>
      <c r="F192" s="1">
        <v>0</v>
      </c>
      <c r="G192" s="1">
        <v>63660.6</v>
      </c>
      <c r="H192" s="1">
        <v>63660.6</v>
      </c>
      <c r="I192" s="1">
        <v>0</v>
      </c>
      <c r="J192" s="1">
        <v>15732.38</v>
      </c>
      <c r="K192" s="1">
        <v>15732.38</v>
      </c>
      <c r="L192" s="1">
        <v>0</v>
      </c>
      <c r="M192" s="1">
        <v>4879.3</v>
      </c>
      <c r="N192" s="1">
        <v>4879.3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1383.09</v>
      </c>
      <c r="W192" s="1">
        <v>1383.09</v>
      </c>
      <c r="X192" s="1">
        <v>0</v>
      </c>
      <c r="Y192" s="1">
        <v>85655.37</v>
      </c>
      <c r="Z192" s="1">
        <v>63660.6</v>
      </c>
    </row>
    <row r="193" spans="1:26" x14ac:dyDescent="0.35">
      <c r="A193">
        <v>191</v>
      </c>
      <c r="B193">
        <v>1325</v>
      </c>
      <c r="C193" t="s">
        <v>162</v>
      </c>
      <c r="D193">
        <v>911315</v>
      </c>
      <c r="E193" t="s">
        <v>130</v>
      </c>
      <c r="F193" s="1">
        <v>0</v>
      </c>
      <c r="G193" s="1">
        <v>92892.24</v>
      </c>
      <c r="H193" s="1">
        <v>92892.24</v>
      </c>
      <c r="I193" s="1">
        <v>0</v>
      </c>
      <c r="J193" s="1">
        <v>25549.73</v>
      </c>
      <c r="K193" s="1">
        <v>25549.73</v>
      </c>
      <c r="L193" s="1">
        <v>0</v>
      </c>
      <c r="M193" s="1">
        <v>11762.12</v>
      </c>
      <c r="N193" s="1">
        <v>11762.12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130204.09</v>
      </c>
      <c r="Z193" s="1">
        <v>92892.24</v>
      </c>
    </row>
    <row r="194" spans="1:26" x14ac:dyDescent="0.35">
      <c r="A194">
        <v>192</v>
      </c>
      <c r="B194">
        <v>1325</v>
      </c>
      <c r="C194" t="s">
        <v>162</v>
      </c>
      <c r="D194">
        <v>913922</v>
      </c>
      <c r="E194" t="s">
        <v>134</v>
      </c>
      <c r="F194" s="1">
        <v>0</v>
      </c>
      <c r="G194" s="1">
        <v>16286.8</v>
      </c>
      <c r="H194" s="1">
        <v>16286.8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16286.8</v>
      </c>
      <c r="Z194" s="1">
        <v>16286.8</v>
      </c>
    </row>
    <row r="195" spans="1:26" x14ac:dyDescent="0.35">
      <c r="A195">
        <v>193</v>
      </c>
      <c r="B195">
        <v>1325</v>
      </c>
      <c r="C195" t="s">
        <v>162</v>
      </c>
      <c r="D195">
        <v>911317</v>
      </c>
      <c r="E195" t="s">
        <v>132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96030</v>
      </c>
      <c r="W195" s="1">
        <v>96030</v>
      </c>
      <c r="X195" s="1">
        <v>0</v>
      </c>
      <c r="Y195" s="1">
        <v>96030</v>
      </c>
      <c r="Z195" s="1">
        <v>0</v>
      </c>
    </row>
    <row r="196" spans="1:26" x14ac:dyDescent="0.35">
      <c r="A196">
        <v>194</v>
      </c>
      <c r="B196">
        <v>1325</v>
      </c>
      <c r="C196" t="s">
        <v>162</v>
      </c>
      <c r="D196">
        <v>913113</v>
      </c>
      <c r="E196" t="s">
        <v>145</v>
      </c>
      <c r="F196" s="1">
        <v>0</v>
      </c>
      <c r="G196" s="1">
        <v>17982.5</v>
      </c>
      <c r="H196" s="1">
        <v>17982.5</v>
      </c>
      <c r="I196" s="1">
        <v>0</v>
      </c>
      <c r="J196" s="1">
        <v>12233.98</v>
      </c>
      <c r="K196" s="1">
        <v>12233.98</v>
      </c>
      <c r="L196" s="1">
        <v>0</v>
      </c>
      <c r="M196" s="1">
        <v>19100.59</v>
      </c>
      <c r="N196" s="1">
        <v>19100.59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49317.07</v>
      </c>
      <c r="Z196" s="1">
        <v>17982.5</v>
      </c>
    </row>
    <row r="197" spans="1:26" x14ac:dyDescent="0.35">
      <c r="A197">
        <v>195</v>
      </c>
      <c r="B197">
        <v>2001</v>
      </c>
      <c r="C197" t="s">
        <v>163</v>
      </c>
      <c r="D197">
        <v>925614</v>
      </c>
      <c r="E197" t="s">
        <v>164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39336.43</v>
      </c>
      <c r="Q197" s="1">
        <v>39336.43</v>
      </c>
      <c r="R197" s="1">
        <v>0</v>
      </c>
      <c r="S197" s="1">
        <v>2199.16</v>
      </c>
      <c r="T197" s="1">
        <v>2199.16</v>
      </c>
      <c r="U197" s="1">
        <v>0</v>
      </c>
      <c r="V197" s="1">
        <v>2202.08</v>
      </c>
      <c r="W197" s="1">
        <v>2202.08</v>
      </c>
      <c r="X197" s="1">
        <v>0</v>
      </c>
      <c r="Y197" s="1">
        <v>43737.67</v>
      </c>
      <c r="Z197" s="1">
        <v>0</v>
      </c>
    </row>
    <row r="198" spans="1:26" x14ac:dyDescent="0.35">
      <c r="A198">
        <v>196</v>
      </c>
      <c r="B198">
        <v>2001</v>
      </c>
      <c r="C198" t="s">
        <v>163</v>
      </c>
      <c r="D198">
        <v>921311</v>
      </c>
      <c r="E198" t="s">
        <v>124</v>
      </c>
      <c r="F198" s="1">
        <v>0</v>
      </c>
      <c r="G198" s="1">
        <v>5668.24</v>
      </c>
      <c r="H198" s="1">
        <v>5668.24</v>
      </c>
      <c r="I198" s="1">
        <v>0</v>
      </c>
      <c r="J198" s="1">
        <v>23804.12</v>
      </c>
      <c r="K198" s="1">
        <v>23804.12</v>
      </c>
      <c r="L198" s="1">
        <v>0</v>
      </c>
      <c r="M198" s="1">
        <v>35082.65</v>
      </c>
      <c r="N198" s="1">
        <v>35082.65</v>
      </c>
      <c r="O198" s="1">
        <v>0</v>
      </c>
      <c r="P198" s="1">
        <v>88444.02</v>
      </c>
      <c r="Q198" s="1">
        <v>88444.02</v>
      </c>
      <c r="R198" s="1">
        <v>0</v>
      </c>
      <c r="S198" s="1">
        <v>33972.42</v>
      </c>
      <c r="T198" s="1">
        <v>33972.42</v>
      </c>
      <c r="U198" s="1">
        <v>0</v>
      </c>
      <c r="V198" s="1">
        <v>86484.79</v>
      </c>
      <c r="W198" s="1">
        <v>86484.79</v>
      </c>
      <c r="X198" s="1">
        <v>0</v>
      </c>
      <c r="Y198" s="1">
        <v>273456.24</v>
      </c>
      <c r="Z198" s="1">
        <v>5668.24</v>
      </c>
    </row>
    <row r="199" spans="1:26" x14ac:dyDescent="0.35">
      <c r="A199">
        <v>197</v>
      </c>
      <c r="B199">
        <v>2001</v>
      </c>
      <c r="C199" t="s">
        <v>163</v>
      </c>
      <c r="D199">
        <v>922511</v>
      </c>
      <c r="E199" t="s">
        <v>138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112.88</v>
      </c>
      <c r="T199" s="1">
        <v>112.88</v>
      </c>
      <c r="U199" s="1">
        <v>0</v>
      </c>
      <c r="V199" s="1">
        <v>0</v>
      </c>
      <c r="W199" s="1">
        <v>0</v>
      </c>
      <c r="X199" s="1">
        <v>0</v>
      </c>
      <c r="Y199" s="1">
        <v>112.88</v>
      </c>
      <c r="Z199" s="1">
        <v>0</v>
      </c>
    </row>
    <row r="200" spans="1:26" x14ac:dyDescent="0.35">
      <c r="A200">
        <v>198</v>
      </c>
      <c r="B200">
        <v>2001</v>
      </c>
      <c r="C200" t="s">
        <v>163</v>
      </c>
      <c r="D200">
        <v>923431</v>
      </c>
      <c r="E200" t="s">
        <v>165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16.95</v>
      </c>
      <c r="Q200" s="1">
        <v>16.95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16.95</v>
      </c>
      <c r="Z200" s="1">
        <v>0</v>
      </c>
    </row>
    <row r="201" spans="1:26" x14ac:dyDescent="0.35">
      <c r="A201">
        <v>199</v>
      </c>
      <c r="B201">
        <v>2001</v>
      </c>
      <c r="C201" t="s">
        <v>163</v>
      </c>
      <c r="D201">
        <v>923511</v>
      </c>
      <c r="E201" t="s">
        <v>139</v>
      </c>
      <c r="F201" s="1">
        <v>0</v>
      </c>
      <c r="G201" s="1">
        <v>26040</v>
      </c>
      <c r="H201" s="1">
        <v>26040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26040</v>
      </c>
      <c r="Z201" s="1">
        <v>26040</v>
      </c>
    </row>
    <row r="202" spans="1:26" x14ac:dyDescent="0.35">
      <c r="A202">
        <v>200</v>
      </c>
      <c r="B202">
        <v>2001</v>
      </c>
      <c r="C202" t="s">
        <v>163</v>
      </c>
      <c r="D202">
        <v>925611</v>
      </c>
      <c r="E202" t="s">
        <v>154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3089.83</v>
      </c>
      <c r="Q202" s="1">
        <v>3089.83</v>
      </c>
      <c r="R202" s="1">
        <v>0</v>
      </c>
      <c r="S202" s="1">
        <v>300</v>
      </c>
      <c r="T202" s="1">
        <v>300</v>
      </c>
      <c r="U202" s="1">
        <v>0</v>
      </c>
      <c r="V202" s="1">
        <v>1016.95</v>
      </c>
      <c r="W202" s="1">
        <v>1016.95</v>
      </c>
      <c r="X202" s="1">
        <v>0</v>
      </c>
      <c r="Y202" s="1">
        <v>4406.78</v>
      </c>
      <c r="Z202" s="1">
        <v>0</v>
      </c>
    </row>
    <row r="203" spans="1:26" x14ac:dyDescent="0.35">
      <c r="A203">
        <v>201</v>
      </c>
      <c r="B203">
        <v>2001</v>
      </c>
      <c r="C203" t="s">
        <v>163</v>
      </c>
      <c r="D203">
        <v>928412</v>
      </c>
      <c r="E203" t="s">
        <v>142</v>
      </c>
      <c r="F203" s="1">
        <v>0</v>
      </c>
      <c r="G203" s="1">
        <v>81.34</v>
      </c>
      <c r="H203" s="1">
        <v>81.34</v>
      </c>
      <c r="I203" s="1">
        <v>0</v>
      </c>
      <c r="J203" s="1">
        <v>81.36</v>
      </c>
      <c r="K203" s="1">
        <v>81.36</v>
      </c>
      <c r="L203" s="1">
        <v>0</v>
      </c>
      <c r="M203" s="1">
        <v>81.34</v>
      </c>
      <c r="N203" s="1">
        <v>81.34</v>
      </c>
      <c r="O203" s="1">
        <v>0</v>
      </c>
      <c r="P203" s="1">
        <v>69.05</v>
      </c>
      <c r="Q203" s="1">
        <v>69.05</v>
      </c>
      <c r="R203" s="1">
        <v>0</v>
      </c>
      <c r="S203" s="1">
        <v>69.040000000000006</v>
      </c>
      <c r="T203" s="1">
        <v>69.040000000000006</v>
      </c>
      <c r="U203" s="1">
        <v>0</v>
      </c>
      <c r="V203" s="1">
        <v>69.05</v>
      </c>
      <c r="W203" s="1">
        <v>69.05</v>
      </c>
      <c r="X203" s="1">
        <v>0</v>
      </c>
      <c r="Y203" s="1">
        <v>451.18</v>
      </c>
      <c r="Z203" s="1">
        <v>81.34</v>
      </c>
    </row>
    <row r="204" spans="1:26" x14ac:dyDescent="0.35">
      <c r="A204">
        <v>202</v>
      </c>
      <c r="B204">
        <v>2001</v>
      </c>
      <c r="C204" t="s">
        <v>163</v>
      </c>
      <c r="D204">
        <v>928415</v>
      </c>
      <c r="E204" t="s">
        <v>166</v>
      </c>
      <c r="F204" s="1">
        <v>0</v>
      </c>
      <c r="G204" s="1">
        <v>165.82</v>
      </c>
      <c r="H204" s="1">
        <v>165.82</v>
      </c>
      <c r="I204" s="1">
        <v>0</v>
      </c>
      <c r="J204" s="1">
        <v>165.83</v>
      </c>
      <c r="K204" s="1">
        <v>165.83</v>
      </c>
      <c r="L204" s="1">
        <v>0</v>
      </c>
      <c r="M204" s="1">
        <v>165.82</v>
      </c>
      <c r="N204" s="1">
        <v>165.82</v>
      </c>
      <c r="O204" s="1">
        <v>0</v>
      </c>
      <c r="P204" s="1">
        <v>165.83</v>
      </c>
      <c r="Q204" s="1">
        <v>165.83</v>
      </c>
      <c r="R204" s="1">
        <v>0</v>
      </c>
      <c r="S204" s="1">
        <v>165.82</v>
      </c>
      <c r="T204" s="1">
        <v>165.82</v>
      </c>
      <c r="U204" s="1">
        <v>0</v>
      </c>
      <c r="V204" s="1">
        <v>165.83</v>
      </c>
      <c r="W204" s="1">
        <v>165.83</v>
      </c>
      <c r="X204" s="1">
        <v>0</v>
      </c>
      <c r="Y204" s="1">
        <v>994.95</v>
      </c>
      <c r="Z204" s="1">
        <v>165.82</v>
      </c>
    </row>
    <row r="205" spans="1:26" x14ac:dyDescent="0.35">
      <c r="A205">
        <v>203</v>
      </c>
      <c r="B205">
        <v>2001</v>
      </c>
      <c r="C205" t="s">
        <v>163</v>
      </c>
      <c r="D205">
        <v>923922</v>
      </c>
      <c r="E205" t="s">
        <v>167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11.86</v>
      </c>
      <c r="T205" s="1">
        <v>11.86</v>
      </c>
      <c r="U205" s="1">
        <v>0</v>
      </c>
      <c r="V205" s="1">
        <v>0</v>
      </c>
      <c r="W205" s="1">
        <v>0</v>
      </c>
      <c r="X205" s="1">
        <v>0</v>
      </c>
      <c r="Y205" s="1">
        <v>11.86</v>
      </c>
      <c r="Z205" s="1">
        <v>0</v>
      </c>
    </row>
    <row r="206" spans="1:26" x14ac:dyDescent="0.35">
      <c r="A206">
        <v>204</v>
      </c>
      <c r="B206">
        <v>2001</v>
      </c>
      <c r="C206" t="s">
        <v>163</v>
      </c>
      <c r="D206">
        <v>925616</v>
      </c>
      <c r="E206" t="s">
        <v>124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</row>
    <row r="207" spans="1:26" x14ac:dyDescent="0.35">
      <c r="A207">
        <v>205</v>
      </c>
      <c r="B207">
        <v>2001</v>
      </c>
      <c r="C207" t="s">
        <v>163</v>
      </c>
      <c r="D207">
        <v>925615</v>
      </c>
      <c r="E207" t="s">
        <v>144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904.97</v>
      </c>
      <c r="Q207" s="1">
        <v>904.97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904.97</v>
      </c>
      <c r="Z207" s="1">
        <v>0</v>
      </c>
    </row>
    <row r="208" spans="1:26" x14ac:dyDescent="0.35">
      <c r="A208">
        <v>206</v>
      </c>
      <c r="B208">
        <v>2001</v>
      </c>
      <c r="C208" t="s">
        <v>163</v>
      </c>
      <c r="D208">
        <v>925612</v>
      </c>
      <c r="E208" t="s">
        <v>168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</row>
    <row r="209" spans="1:26" x14ac:dyDescent="0.35">
      <c r="A209">
        <v>207</v>
      </c>
      <c r="B209">
        <v>2002</v>
      </c>
      <c r="C209" t="s">
        <v>169</v>
      </c>
      <c r="D209">
        <v>928411</v>
      </c>
      <c r="E209" t="s">
        <v>161</v>
      </c>
      <c r="F209" s="1">
        <v>0</v>
      </c>
      <c r="G209" s="1">
        <v>62.84</v>
      </c>
      <c r="H209" s="1">
        <v>62.84</v>
      </c>
      <c r="I209" s="1">
        <v>0</v>
      </c>
      <c r="J209" s="1">
        <v>62.83</v>
      </c>
      <c r="K209" s="1">
        <v>62.83</v>
      </c>
      <c r="L209" s="1">
        <v>0</v>
      </c>
      <c r="M209" s="1">
        <v>62.84</v>
      </c>
      <c r="N209" s="1">
        <v>62.84</v>
      </c>
      <c r="O209" s="1">
        <v>0</v>
      </c>
      <c r="P209" s="1">
        <v>62.83</v>
      </c>
      <c r="Q209" s="1">
        <v>62.83</v>
      </c>
      <c r="R209" s="1">
        <v>0</v>
      </c>
      <c r="S209" s="1">
        <v>62.84</v>
      </c>
      <c r="T209" s="1">
        <v>62.84</v>
      </c>
      <c r="U209" s="1">
        <v>0</v>
      </c>
      <c r="V209" s="1">
        <v>62.83</v>
      </c>
      <c r="W209" s="1">
        <v>62.83</v>
      </c>
      <c r="X209" s="1">
        <v>0</v>
      </c>
      <c r="Y209" s="1">
        <v>377.01</v>
      </c>
      <c r="Z209" s="1">
        <v>62.84</v>
      </c>
    </row>
    <row r="210" spans="1:26" x14ac:dyDescent="0.35">
      <c r="A210">
        <v>208</v>
      </c>
      <c r="B210">
        <v>2002</v>
      </c>
      <c r="C210" t="s">
        <v>169</v>
      </c>
      <c r="D210">
        <v>922511</v>
      </c>
      <c r="E210" t="s">
        <v>138</v>
      </c>
      <c r="F210" s="1">
        <v>0</v>
      </c>
      <c r="G210" s="1">
        <v>5581.74</v>
      </c>
      <c r="H210" s="1">
        <v>5581.74</v>
      </c>
      <c r="I210" s="1">
        <v>0</v>
      </c>
      <c r="J210" s="1">
        <v>4658.93</v>
      </c>
      <c r="K210" s="1">
        <v>4658.93</v>
      </c>
      <c r="L210" s="1">
        <v>0</v>
      </c>
      <c r="M210" s="1">
        <v>4697.7700000000004</v>
      </c>
      <c r="N210" s="1">
        <v>4697.7700000000004</v>
      </c>
      <c r="O210" s="1">
        <v>0</v>
      </c>
      <c r="P210" s="1">
        <v>7917.03</v>
      </c>
      <c r="Q210" s="1">
        <v>7917.03</v>
      </c>
      <c r="R210" s="1">
        <v>0</v>
      </c>
      <c r="S210" s="1">
        <v>4012.33</v>
      </c>
      <c r="T210" s="1">
        <v>4012.33</v>
      </c>
      <c r="U210" s="1">
        <v>0</v>
      </c>
      <c r="V210" s="1">
        <v>9537.1200000000008</v>
      </c>
      <c r="W210" s="1">
        <v>9537.1200000000008</v>
      </c>
      <c r="X210" s="1">
        <v>0</v>
      </c>
      <c r="Y210" s="1">
        <v>36404.92</v>
      </c>
      <c r="Z210" s="1">
        <v>5581.74</v>
      </c>
    </row>
    <row r="211" spans="1:26" x14ac:dyDescent="0.35">
      <c r="A211">
        <v>209</v>
      </c>
      <c r="B211">
        <v>2002</v>
      </c>
      <c r="C211" t="s">
        <v>169</v>
      </c>
      <c r="D211">
        <v>92251</v>
      </c>
      <c r="E211" t="s">
        <v>138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</row>
    <row r="212" spans="1:26" x14ac:dyDescent="0.35">
      <c r="A212">
        <v>210</v>
      </c>
      <c r="B212">
        <v>2003</v>
      </c>
      <c r="C212" t="s">
        <v>170</v>
      </c>
      <c r="D212">
        <v>922111</v>
      </c>
      <c r="E212" t="s">
        <v>171</v>
      </c>
      <c r="F212" s="1">
        <v>0</v>
      </c>
      <c r="G212" s="1">
        <v>3200</v>
      </c>
      <c r="H212" s="1">
        <v>3200</v>
      </c>
      <c r="I212" s="1">
        <v>0</v>
      </c>
      <c r="J212" s="1">
        <v>228.57</v>
      </c>
      <c r="K212" s="1">
        <v>228.57</v>
      </c>
      <c r="L212" s="1">
        <v>0</v>
      </c>
      <c r="M212" s="1">
        <v>2787.1</v>
      </c>
      <c r="N212" s="1">
        <v>2787.1</v>
      </c>
      <c r="O212" s="1">
        <v>0</v>
      </c>
      <c r="P212" s="1">
        <v>3600</v>
      </c>
      <c r="Q212" s="1">
        <v>3600</v>
      </c>
      <c r="R212" s="1">
        <v>0</v>
      </c>
      <c r="S212" s="1">
        <v>3600</v>
      </c>
      <c r="T212" s="1">
        <v>3600</v>
      </c>
      <c r="U212" s="1">
        <v>0</v>
      </c>
      <c r="V212" s="1">
        <v>3600</v>
      </c>
      <c r="W212" s="1">
        <v>3600</v>
      </c>
      <c r="X212" s="1">
        <v>0</v>
      </c>
      <c r="Y212" s="1">
        <v>17015.669999999998</v>
      </c>
      <c r="Z212" s="1">
        <v>3200</v>
      </c>
    </row>
    <row r="213" spans="1:26" x14ac:dyDescent="0.35">
      <c r="A213">
        <v>211</v>
      </c>
      <c r="B213">
        <v>2003</v>
      </c>
      <c r="C213" t="s">
        <v>170</v>
      </c>
      <c r="D213">
        <v>922141</v>
      </c>
      <c r="E213" t="s">
        <v>172</v>
      </c>
      <c r="F213" s="1">
        <v>0</v>
      </c>
      <c r="G213" s="1">
        <v>533.33000000000004</v>
      </c>
      <c r="H213" s="1">
        <v>533.33000000000004</v>
      </c>
      <c r="I213" s="1">
        <v>0</v>
      </c>
      <c r="J213" s="1">
        <v>0</v>
      </c>
      <c r="K213" s="1">
        <v>0</v>
      </c>
      <c r="L213" s="1">
        <v>0</v>
      </c>
      <c r="M213" s="1">
        <v>535.63</v>
      </c>
      <c r="N213" s="1">
        <v>535.63</v>
      </c>
      <c r="O213" s="1">
        <v>0</v>
      </c>
      <c r="P213" s="1">
        <v>600</v>
      </c>
      <c r="Q213" s="1">
        <v>600</v>
      </c>
      <c r="R213" s="1">
        <v>0</v>
      </c>
      <c r="S213" s="1">
        <v>0</v>
      </c>
      <c r="T213" s="1">
        <v>0</v>
      </c>
      <c r="U213" s="1">
        <v>0</v>
      </c>
      <c r="V213" s="1">
        <v>600</v>
      </c>
      <c r="W213" s="1">
        <v>600</v>
      </c>
      <c r="X213" s="1">
        <v>0</v>
      </c>
      <c r="Y213" s="1">
        <v>2268.96</v>
      </c>
      <c r="Z213" s="1">
        <v>533.33000000000004</v>
      </c>
    </row>
    <row r="214" spans="1:26" x14ac:dyDescent="0.35">
      <c r="A214">
        <v>212</v>
      </c>
      <c r="B214">
        <v>2003</v>
      </c>
      <c r="C214" t="s">
        <v>170</v>
      </c>
      <c r="D214">
        <v>922151</v>
      </c>
      <c r="E214" t="s">
        <v>173</v>
      </c>
      <c r="F214" s="1">
        <v>0</v>
      </c>
      <c r="G214" s="1">
        <v>266.67</v>
      </c>
      <c r="H214" s="1">
        <v>266.67</v>
      </c>
      <c r="I214" s="1">
        <v>0</v>
      </c>
      <c r="J214" s="1">
        <v>-160.04</v>
      </c>
      <c r="K214" s="1">
        <v>-160.04</v>
      </c>
      <c r="L214" s="1">
        <v>0</v>
      </c>
      <c r="M214" s="1">
        <v>426.67</v>
      </c>
      <c r="N214" s="1">
        <v>426.67</v>
      </c>
      <c r="O214" s="1">
        <v>0</v>
      </c>
      <c r="P214" s="1">
        <v>300</v>
      </c>
      <c r="Q214" s="1">
        <v>300</v>
      </c>
      <c r="R214" s="1">
        <v>0</v>
      </c>
      <c r="S214" s="1">
        <v>0</v>
      </c>
      <c r="T214" s="1">
        <v>0</v>
      </c>
      <c r="U214" s="1">
        <v>0</v>
      </c>
      <c r="V214" s="1">
        <v>300</v>
      </c>
      <c r="W214" s="1">
        <v>300</v>
      </c>
      <c r="X214" s="1">
        <v>0</v>
      </c>
      <c r="Y214" s="1">
        <v>1133.3</v>
      </c>
      <c r="Z214" s="1">
        <v>266.67</v>
      </c>
    </row>
    <row r="215" spans="1:26" x14ac:dyDescent="0.35">
      <c r="A215">
        <v>213</v>
      </c>
      <c r="B215">
        <v>2003</v>
      </c>
      <c r="C215" t="s">
        <v>170</v>
      </c>
      <c r="D215">
        <v>922711</v>
      </c>
      <c r="E215" t="s">
        <v>174</v>
      </c>
      <c r="F215" s="1">
        <v>0</v>
      </c>
      <c r="G215" s="1">
        <v>288</v>
      </c>
      <c r="H215" s="1">
        <v>288</v>
      </c>
      <c r="I215" s="1">
        <v>0</v>
      </c>
      <c r="J215" s="1">
        <v>270.17</v>
      </c>
      <c r="K215" s="1">
        <v>270.17</v>
      </c>
      <c r="L215" s="1">
        <v>0</v>
      </c>
      <c r="M215" s="1">
        <v>289.24</v>
      </c>
      <c r="N215" s="1">
        <v>289.24</v>
      </c>
      <c r="O215" s="1">
        <v>0</v>
      </c>
      <c r="P215" s="1">
        <v>324</v>
      </c>
      <c r="Q215" s="1">
        <v>324</v>
      </c>
      <c r="R215" s="1">
        <v>0</v>
      </c>
      <c r="S215" s="1">
        <v>324</v>
      </c>
      <c r="T215" s="1">
        <v>324</v>
      </c>
      <c r="U215" s="1">
        <v>0</v>
      </c>
      <c r="V215" s="1">
        <v>324</v>
      </c>
      <c r="W215" s="1">
        <v>324</v>
      </c>
      <c r="X215" s="1">
        <v>0</v>
      </c>
      <c r="Y215" s="1">
        <v>1819.41</v>
      </c>
      <c r="Z215" s="1">
        <v>288</v>
      </c>
    </row>
    <row r="216" spans="1:26" x14ac:dyDescent="0.35">
      <c r="A216">
        <v>214</v>
      </c>
      <c r="B216">
        <v>2003</v>
      </c>
      <c r="C216" t="s">
        <v>170</v>
      </c>
      <c r="D216">
        <v>922911</v>
      </c>
      <c r="E216" t="s">
        <v>175</v>
      </c>
      <c r="F216" s="1">
        <v>0</v>
      </c>
      <c r="G216" s="1">
        <v>311.11</v>
      </c>
      <c r="H216" s="1">
        <v>311.11</v>
      </c>
      <c r="I216" s="1">
        <v>0</v>
      </c>
      <c r="J216" s="1">
        <v>0</v>
      </c>
      <c r="K216" s="1">
        <v>0</v>
      </c>
      <c r="L216" s="1">
        <v>0</v>
      </c>
      <c r="M216" s="1">
        <v>312.45</v>
      </c>
      <c r="N216" s="1">
        <v>312.45</v>
      </c>
      <c r="O216" s="1">
        <v>0</v>
      </c>
      <c r="P216" s="1">
        <v>350</v>
      </c>
      <c r="Q216" s="1">
        <v>350</v>
      </c>
      <c r="R216" s="1">
        <v>0</v>
      </c>
      <c r="S216" s="1">
        <v>470.89</v>
      </c>
      <c r="T216" s="1">
        <v>470.89</v>
      </c>
      <c r="U216" s="1">
        <v>0</v>
      </c>
      <c r="V216" s="1">
        <v>350</v>
      </c>
      <c r="W216" s="1">
        <v>350</v>
      </c>
      <c r="X216" s="1">
        <v>0</v>
      </c>
      <c r="Y216" s="1">
        <v>1794.45</v>
      </c>
      <c r="Z216" s="1">
        <v>311.11</v>
      </c>
    </row>
    <row r="217" spans="1:26" x14ac:dyDescent="0.35">
      <c r="A217">
        <v>215</v>
      </c>
      <c r="B217">
        <v>2003</v>
      </c>
      <c r="C217" t="s">
        <v>170</v>
      </c>
      <c r="D217">
        <v>923911</v>
      </c>
      <c r="E217" t="s">
        <v>176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</row>
    <row r="218" spans="1:26" x14ac:dyDescent="0.35">
      <c r="A218">
        <v>216</v>
      </c>
      <c r="B218">
        <v>2003</v>
      </c>
      <c r="C218" t="s">
        <v>170</v>
      </c>
      <c r="D218">
        <v>923921</v>
      </c>
      <c r="E218" t="s">
        <v>177</v>
      </c>
      <c r="F218" s="1">
        <v>0</v>
      </c>
      <c r="G218" s="1">
        <v>4883.84</v>
      </c>
      <c r="H218" s="1">
        <v>4883.84</v>
      </c>
      <c r="I218" s="1">
        <v>0</v>
      </c>
      <c r="J218" s="1">
        <v>0</v>
      </c>
      <c r="K218" s="1">
        <v>0</v>
      </c>
      <c r="L218" s="1">
        <v>0</v>
      </c>
      <c r="M218" s="1">
        <v>444.45</v>
      </c>
      <c r="N218" s="1">
        <v>444.45</v>
      </c>
      <c r="O218" s="1">
        <v>0</v>
      </c>
      <c r="P218" s="1">
        <v>492.62</v>
      </c>
      <c r="Q218" s="1">
        <v>492.62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5820.91</v>
      </c>
      <c r="Z218" s="1">
        <v>4883.84</v>
      </c>
    </row>
    <row r="219" spans="1:26" x14ac:dyDescent="0.35">
      <c r="A219">
        <v>217</v>
      </c>
      <c r="B219">
        <v>2003</v>
      </c>
      <c r="C219" t="s">
        <v>170</v>
      </c>
      <c r="D219">
        <v>911315</v>
      </c>
      <c r="E219" t="s">
        <v>130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</row>
    <row r="220" spans="1:26" x14ac:dyDescent="0.35">
      <c r="A220">
        <v>218</v>
      </c>
      <c r="B220">
        <v>2003</v>
      </c>
      <c r="C220" t="s">
        <v>170</v>
      </c>
      <c r="D220">
        <v>923922</v>
      </c>
      <c r="E220" t="s">
        <v>167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2173.91</v>
      </c>
      <c r="N220" s="1">
        <v>2173.91</v>
      </c>
      <c r="O220" s="1">
        <v>0</v>
      </c>
      <c r="P220" s="1">
        <v>0</v>
      </c>
      <c r="Q220" s="1">
        <v>0</v>
      </c>
      <c r="R220" s="1">
        <v>0</v>
      </c>
      <c r="S220" s="1">
        <v>2173.91</v>
      </c>
      <c r="T220" s="1">
        <v>2173.91</v>
      </c>
      <c r="U220" s="1">
        <v>0</v>
      </c>
      <c r="V220" s="1">
        <v>0</v>
      </c>
      <c r="W220" s="1">
        <v>0</v>
      </c>
      <c r="X220" s="1">
        <v>0</v>
      </c>
      <c r="Y220" s="1">
        <v>4347.82</v>
      </c>
      <c r="Z220" s="1">
        <v>0</v>
      </c>
    </row>
    <row r="221" spans="1:26" x14ac:dyDescent="0.35">
      <c r="A221">
        <v>219</v>
      </c>
      <c r="B221">
        <v>2004</v>
      </c>
      <c r="C221" t="s">
        <v>178</v>
      </c>
      <c r="D221">
        <v>921311</v>
      </c>
      <c r="E221" t="s">
        <v>124</v>
      </c>
      <c r="F221" s="1">
        <v>0</v>
      </c>
      <c r="G221" s="1">
        <v>1296.7</v>
      </c>
      <c r="H221" s="1">
        <v>1296.7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7282.51</v>
      </c>
      <c r="Q221" s="1">
        <v>7282.51</v>
      </c>
      <c r="R221" s="1">
        <v>0</v>
      </c>
      <c r="S221" s="1">
        <v>45447.65</v>
      </c>
      <c r="T221" s="1">
        <v>45447.65</v>
      </c>
      <c r="U221" s="1">
        <v>0</v>
      </c>
      <c r="V221" s="1">
        <v>762.71</v>
      </c>
      <c r="W221" s="1">
        <v>762.71</v>
      </c>
      <c r="X221" s="1">
        <v>0</v>
      </c>
      <c r="Y221" s="1">
        <v>54789.57</v>
      </c>
      <c r="Z221" s="1">
        <v>1296.7</v>
      </c>
    </row>
    <row r="222" spans="1:26" x14ac:dyDescent="0.35">
      <c r="A222">
        <v>220</v>
      </c>
      <c r="B222">
        <v>2004</v>
      </c>
      <c r="C222" t="s">
        <v>178</v>
      </c>
      <c r="D222">
        <v>921331</v>
      </c>
      <c r="E222" t="s">
        <v>179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1439.76</v>
      </c>
      <c r="W222" s="1">
        <v>1439.76</v>
      </c>
      <c r="X222" s="1">
        <v>0</v>
      </c>
      <c r="Y222" s="1">
        <v>1439.76</v>
      </c>
      <c r="Z222" s="1">
        <v>0</v>
      </c>
    </row>
    <row r="223" spans="1:26" x14ac:dyDescent="0.35">
      <c r="A223">
        <v>221</v>
      </c>
      <c r="B223">
        <v>2004</v>
      </c>
      <c r="C223" t="s">
        <v>178</v>
      </c>
      <c r="D223">
        <v>922111</v>
      </c>
      <c r="E223" t="s">
        <v>171</v>
      </c>
      <c r="F223" s="1">
        <v>0</v>
      </c>
      <c r="G223" s="1">
        <v>33471.57</v>
      </c>
      <c r="H223" s="1">
        <v>33471.57</v>
      </c>
      <c r="I223" s="1">
        <v>0</v>
      </c>
      <c r="J223" s="1">
        <v>34410.86</v>
      </c>
      <c r="K223" s="1">
        <v>34410.86</v>
      </c>
      <c r="L223" s="1">
        <v>0</v>
      </c>
      <c r="M223" s="1">
        <v>16702</v>
      </c>
      <c r="N223" s="1">
        <v>16702</v>
      </c>
      <c r="O223" s="1">
        <v>0</v>
      </c>
      <c r="P223" s="1">
        <v>34865.79</v>
      </c>
      <c r="Q223" s="1">
        <v>34865.79</v>
      </c>
      <c r="R223" s="1">
        <v>0</v>
      </c>
      <c r="S223" s="1">
        <v>36503.18</v>
      </c>
      <c r="T223" s="1">
        <v>36503.18</v>
      </c>
      <c r="U223" s="1">
        <v>0</v>
      </c>
      <c r="V223" s="1">
        <v>39471.57</v>
      </c>
      <c r="W223" s="1">
        <v>39471.57</v>
      </c>
      <c r="X223" s="1">
        <v>0</v>
      </c>
      <c r="Y223" s="1">
        <v>195424.97</v>
      </c>
      <c r="Z223" s="1">
        <v>33471.57</v>
      </c>
    </row>
    <row r="224" spans="1:26" x14ac:dyDescent="0.35">
      <c r="A224">
        <v>222</v>
      </c>
      <c r="B224">
        <v>2004</v>
      </c>
      <c r="C224" t="s">
        <v>178</v>
      </c>
      <c r="D224">
        <v>922112</v>
      </c>
      <c r="E224" t="s">
        <v>180</v>
      </c>
      <c r="F224" s="1">
        <v>0</v>
      </c>
      <c r="G224" s="1">
        <v>391234.21</v>
      </c>
      <c r="H224" s="1">
        <v>391234.21</v>
      </c>
      <c r="I224" s="1">
        <v>0</v>
      </c>
      <c r="J224" s="1">
        <v>305736.98</v>
      </c>
      <c r="K224" s="1">
        <v>305736.98</v>
      </c>
      <c r="L224" s="1">
        <v>0</v>
      </c>
      <c r="M224" s="1">
        <v>227605.44</v>
      </c>
      <c r="N224" s="1">
        <v>227605.44</v>
      </c>
      <c r="O224" s="1">
        <v>0</v>
      </c>
      <c r="P224" s="1">
        <v>244456.58</v>
      </c>
      <c r="Q224" s="1">
        <v>244456.58</v>
      </c>
      <c r="R224" s="1">
        <v>0</v>
      </c>
      <c r="S224" s="1">
        <v>294277.62</v>
      </c>
      <c r="T224" s="1">
        <v>294277.62</v>
      </c>
      <c r="U224" s="1">
        <v>0</v>
      </c>
      <c r="V224" s="1">
        <v>252461.39</v>
      </c>
      <c r="W224" s="1">
        <v>252461.39</v>
      </c>
      <c r="X224" s="1">
        <v>0</v>
      </c>
      <c r="Y224" s="1">
        <v>1715772.22</v>
      </c>
      <c r="Z224" s="1">
        <v>391234.21</v>
      </c>
    </row>
    <row r="225" spans="1:26" x14ac:dyDescent="0.35">
      <c r="A225">
        <v>223</v>
      </c>
      <c r="B225">
        <v>2004</v>
      </c>
      <c r="C225" t="s">
        <v>178</v>
      </c>
      <c r="D225">
        <v>922141</v>
      </c>
      <c r="E225" t="s">
        <v>172</v>
      </c>
      <c r="F225" s="1">
        <v>0</v>
      </c>
      <c r="G225" s="1">
        <v>6355.84</v>
      </c>
      <c r="H225" s="1">
        <v>6355.84</v>
      </c>
      <c r="I225" s="1">
        <v>0</v>
      </c>
      <c r="J225" s="1">
        <v>5909.09</v>
      </c>
      <c r="K225" s="1">
        <v>5909.09</v>
      </c>
      <c r="L225" s="1">
        <v>0</v>
      </c>
      <c r="M225" s="1">
        <v>6507.83</v>
      </c>
      <c r="N225" s="1">
        <v>6507.83</v>
      </c>
      <c r="O225" s="1">
        <v>0</v>
      </c>
      <c r="P225" s="1">
        <v>7883.32</v>
      </c>
      <c r="Q225" s="1">
        <v>7883.32</v>
      </c>
      <c r="R225" s="1">
        <v>0</v>
      </c>
      <c r="S225" s="1">
        <v>686.21</v>
      </c>
      <c r="T225" s="1">
        <v>686.21</v>
      </c>
      <c r="U225" s="1">
        <v>0</v>
      </c>
      <c r="V225" s="1">
        <v>7606.26</v>
      </c>
      <c r="W225" s="1">
        <v>7606.26</v>
      </c>
      <c r="X225" s="1">
        <v>0</v>
      </c>
      <c r="Y225" s="1">
        <v>34948.550000000003</v>
      </c>
      <c r="Z225" s="1">
        <v>6355.84</v>
      </c>
    </row>
    <row r="226" spans="1:26" x14ac:dyDescent="0.35">
      <c r="A226">
        <v>224</v>
      </c>
      <c r="B226">
        <v>2004</v>
      </c>
      <c r="C226" t="s">
        <v>178</v>
      </c>
      <c r="D226">
        <v>922142</v>
      </c>
      <c r="E226" t="s">
        <v>181</v>
      </c>
      <c r="F226" s="1">
        <v>0</v>
      </c>
      <c r="G226" s="1">
        <v>49962.76</v>
      </c>
      <c r="H226" s="1">
        <v>49962.76</v>
      </c>
      <c r="I226" s="1">
        <v>0</v>
      </c>
      <c r="J226" s="1">
        <v>38299.230000000003</v>
      </c>
      <c r="K226" s="1">
        <v>38299.230000000003</v>
      </c>
      <c r="L226" s="1">
        <v>0</v>
      </c>
      <c r="M226" s="1">
        <v>33029.040000000001</v>
      </c>
      <c r="N226" s="1">
        <v>33029.040000000001</v>
      </c>
      <c r="O226" s="1">
        <v>0</v>
      </c>
      <c r="P226" s="1">
        <v>35244.400000000001</v>
      </c>
      <c r="Q226" s="1">
        <v>35244.400000000001</v>
      </c>
      <c r="R226" s="1">
        <v>0</v>
      </c>
      <c r="S226" s="1">
        <v>40746.269999999997</v>
      </c>
      <c r="T226" s="1">
        <v>40746.269999999997</v>
      </c>
      <c r="U226" s="1">
        <v>0</v>
      </c>
      <c r="V226" s="1">
        <v>34287.279999999999</v>
      </c>
      <c r="W226" s="1">
        <v>34287.279999999999</v>
      </c>
      <c r="X226" s="1">
        <v>0</v>
      </c>
      <c r="Y226" s="1">
        <v>231568.98</v>
      </c>
      <c r="Z226" s="1">
        <v>49962.76</v>
      </c>
    </row>
    <row r="227" spans="1:26" x14ac:dyDescent="0.35">
      <c r="A227">
        <v>225</v>
      </c>
      <c r="B227">
        <v>2004</v>
      </c>
      <c r="C227" t="s">
        <v>178</v>
      </c>
      <c r="D227">
        <v>922151</v>
      </c>
      <c r="E227" t="s">
        <v>173</v>
      </c>
      <c r="F227" s="1">
        <v>0</v>
      </c>
      <c r="G227" s="1">
        <v>3177.93</v>
      </c>
      <c r="H227" s="1">
        <v>3177.93</v>
      </c>
      <c r="I227" s="1">
        <v>0</v>
      </c>
      <c r="J227" s="1">
        <v>466.53</v>
      </c>
      <c r="K227" s="1">
        <v>466.53</v>
      </c>
      <c r="L227" s="1">
        <v>0</v>
      </c>
      <c r="M227" s="1">
        <v>15494.46</v>
      </c>
      <c r="N227" s="1">
        <v>15494.46</v>
      </c>
      <c r="O227" s="1">
        <v>0</v>
      </c>
      <c r="P227" s="1">
        <v>7927.38</v>
      </c>
      <c r="Q227" s="1">
        <v>7927.38</v>
      </c>
      <c r="R227" s="1">
        <v>0</v>
      </c>
      <c r="S227" s="1">
        <v>25136.28</v>
      </c>
      <c r="T227" s="1">
        <v>25136.28</v>
      </c>
      <c r="U227" s="1">
        <v>0</v>
      </c>
      <c r="V227" s="1">
        <v>3613.01</v>
      </c>
      <c r="W227" s="1">
        <v>3613.01</v>
      </c>
      <c r="X227" s="1">
        <v>0</v>
      </c>
      <c r="Y227" s="1">
        <v>55815.59</v>
      </c>
      <c r="Z227" s="1">
        <v>3177.93</v>
      </c>
    </row>
    <row r="228" spans="1:26" x14ac:dyDescent="0.35">
      <c r="A228">
        <v>226</v>
      </c>
      <c r="B228">
        <v>2004</v>
      </c>
      <c r="C228" t="s">
        <v>178</v>
      </c>
      <c r="D228">
        <v>922152</v>
      </c>
      <c r="E228" t="s">
        <v>182</v>
      </c>
      <c r="F228" s="1">
        <v>0</v>
      </c>
      <c r="G228" s="1">
        <v>23171.62</v>
      </c>
      <c r="H228" s="1">
        <v>23171.62</v>
      </c>
      <c r="I228" s="1">
        <v>0</v>
      </c>
      <c r="J228" s="1">
        <v>24412.26</v>
      </c>
      <c r="K228" s="1">
        <v>24412.26</v>
      </c>
      <c r="L228" s="1">
        <v>0</v>
      </c>
      <c r="M228" s="1">
        <v>27746.28</v>
      </c>
      <c r="N228" s="1">
        <v>27746.28</v>
      </c>
      <c r="O228" s="1">
        <v>0</v>
      </c>
      <c r="P228" s="1">
        <v>29088.29</v>
      </c>
      <c r="Q228" s="1">
        <v>29088.29</v>
      </c>
      <c r="R228" s="1">
        <v>0</v>
      </c>
      <c r="S228" s="1">
        <v>25976.36</v>
      </c>
      <c r="T228" s="1">
        <v>25976.36</v>
      </c>
      <c r="U228" s="1">
        <v>0</v>
      </c>
      <c r="V228" s="1">
        <v>25428.29</v>
      </c>
      <c r="W228" s="1">
        <v>25428.29</v>
      </c>
      <c r="X228" s="1">
        <v>0</v>
      </c>
      <c r="Y228" s="1">
        <v>155823.1</v>
      </c>
      <c r="Z228" s="1">
        <v>23171.62</v>
      </c>
    </row>
    <row r="229" spans="1:26" x14ac:dyDescent="0.35">
      <c r="A229">
        <v>227</v>
      </c>
      <c r="B229">
        <v>2004</v>
      </c>
      <c r="C229" t="s">
        <v>178</v>
      </c>
      <c r="D229">
        <v>922411</v>
      </c>
      <c r="E229" t="s">
        <v>137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</row>
    <row r="230" spans="1:26" x14ac:dyDescent="0.35">
      <c r="A230">
        <v>228</v>
      </c>
      <c r="B230">
        <v>2004</v>
      </c>
      <c r="C230" t="s">
        <v>178</v>
      </c>
      <c r="D230">
        <v>922511</v>
      </c>
      <c r="E230" t="s">
        <v>138</v>
      </c>
      <c r="F230" s="1">
        <v>0</v>
      </c>
      <c r="G230" s="1">
        <v>2039.83</v>
      </c>
      <c r="H230" s="1">
        <v>2039.83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72.86</v>
      </c>
      <c r="Q230" s="1">
        <v>72.86</v>
      </c>
      <c r="R230" s="1">
        <v>0</v>
      </c>
      <c r="S230" s="1">
        <v>0</v>
      </c>
      <c r="T230" s="1">
        <v>0</v>
      </c>
      <c r="U230" s="1">
        <v>0</v>
      </c>
      <c r="V230" s="1">
        <v>1476.5</v>
      </c>
      <c r="W230" s="1">
        <v>1476.5</v>
      </c>
      <c r="X230" s="1">
        <v>0</v>
      </c>
      <c r="Y230" s="1">
        <v>3589.19</v>
      </c>
      <c r="Z230" s="1">
        <v>2039.83</v>
      </c>
    </row>
    <row r="231" spans="1:26" x14ac:dyDescent="0.35">
      <c r="A231">
        <v>229</v>
      </c>
      <c r="B231">
        <v>2004</v>
      </c>
      <c r="C231" t="s">
        <v>178</v>
      </c>
      <c r="D231">
        <v>922711</v>
      </c>
      <c r="E231" t="s">
        <v>174</v>
      </c>
      <c r="F231" s="1">
        <v>0</v>
      </c>
      <c r="G231" s="1">
        <v>22111.81</v>
      </c>
      <c r="H231" s="1">
        <v>22111.81</v>
      </c>
      <c r="I231" s="1">
        <v>0</v>
      </c>
      <c r="J231" s="1">
        <v>17474.72</v>
      </c>
      <c r="K231" s="1">
        <v>17474.72</v>
      </c>
      <c r="L231" s="1">
        <v>0</v>
      </c>
      <c r="M231" s="1">
        <v>23505.83</v>
      </c>
      <c r="N231" s="1">
        <v>23505.83</v>
      </c>
      <c r="O231" s="1">
        <v>0</v>
      </c>
      <c r="P231" s="1">
        <v>21654.21</v>
      </c>
      <c r="Q231" s="1">
        <v>21654.21</v>
      </c>
      <c r="R231" s="1">
        <v>0</v>
      </c>
      <c r="S231" s="1">
        <v>22485.57</v>
      </c>
      <c r="T231" s="1">
        <v>22485.57</v>
      </c>
      <c r="U231" s="1">
        <v>0</v>
      </c>
      <c r="V231" s="1">
        <v>17855.62</v>
      </c>
      <c r="W231" s="1">
        <v>17855.62</v>
      </c>
      <c r="X231" s="1">
        <v>0</v>
      </c>
      <c r="Y231" s="1">
        <v>125087.76</v>
      </c>
      <c r="Z231" s="1">
        <v>22111.81</v>
      </c>
    </row>
    <row r="232" spans="1:26" x14ac:dyDescent="0.35">
      <c r="A232">
        <v>230</v>
      </c>
      <c r="B232">
        <v>2004</v>
      </c>
      <c r="C232" t="s">
        <v>178</v>
      </c>
      <c r="D232">
        <v>922741</v>
      </c>
      <c r="E232" t="s">
        <v>183</v>
      </c>
      <c r="F232" s="1">
        <v>0</v>
      </c>
      <c r="G232" s="1">
        <v>1362.29</v>
      </c>
      <c r="H232" s="1">
        <v>1362.29</v>
      </c>
      <c r="I232" s="1">
        <v>0</v>
      </c>
      <c r="J232" s="1">
        <v>1219.57</v>
      </c>
      <c r="K232" s="1">
        <v>1219.57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837.95</v>
      </c>
      <c r="T232" s="1">
        <v>837.95</v>
      </c>
      <c r="U232" s="1">
        <v>0</v>
      </c>
      <c r="V232" s="1">
        <v>1010.32</v>
      </c>
      <c r="W232" s="1">
        <v>1010.32</v>
      </c>
      <c r="X232" s="1">
        <v>0</v>
      </c>
      <c r="Y232" s="1">
        <v>4430.13</v>
      </c>
      <c r="Z232" s="1">
        <v>1362.29</v>
      </c>
    </row>
    <row r="233" spans="1:26" x14ac:dyDescent="0.35">
      <c r="A233">
        <v>231</v>
      </c>
      <c r="B233">
        <v>2004</v>
      </c>
      <c r="C233" t="s">
        <v>178</v>
      </c>
      <c r="D233">
        <v>922751</v>
      </c>
      <c r="E233" t="s">
        <v>184</v>
      </c>
      <c r="F233" s="1">
        <v>0</v>
      </c>
      <c r="G233" s="1">
        <v>732.15</v>
      </c>
      <c r="H233" s="1">
        <v>732.15</v>
      </c>
      <c r="I233" s="1">
        <v>0</v>
      </c>
      <c r="J233" s="1">
        <v>732.15</v>
      </c>
      <c r="K233" s="1">
        <v>732.15</v>
      </c>
      <c r="L233" s="1">
        <v>0</v>
      </c>
      <c r="M233" s="1">
        <v>740.07</v>
      </c>
      <c r="N233" s="1">
        <v>740.07</v>
      </c>
      <c r="O233" s="1">
        <v>0</v>
      </c>
      <c r="P233" s="1">
        <v>732.15</v>
      </c>
      <c r="Q233" s="1">
        <v>732.15</v>
      </c>
      <c r="R233" s="1">
        <v>0</v>
      </c>
      <c r="S233" s="1">
        <v>245.24</v>
      </c>
      <c r="T233" s="1">
        <v>245.24</v>
      </c>
      <c r="U233" s="1">
        <v>0</v>
      </c>
      <c r="V233" s="1">
        <v>245.24</v>
      </c>
      <c r="W233" s="1">
        <v>245.24</v>
      </c>
      <c r="X233" s="1">
        <v>0</v>
      </c>
      <c r="Y233" s="1">
        <v>3427</v>
      </c>
      <c r="Z233" s="1">
        <v>732.15</v>
      </c>
    </row>
    <row r="234" spans="1:26" x14ac:dyDescent="0.35">
      <c r="A234">
        <v>232</v>
      </c>
      <c r="B234">
        <v>2004</v>
      </c>
      <c r="C234" t="s">
        <v>178</v>
      </c>
      <c r="D234">
        <v>922911</v>
      </c>
      <c r="E234" t="s">
        <v>175</v>
      </c>
      <c r="F234" s="1">
        <v>0</v>
      </c>
      <c r="G234" s="1">
        <v>3707.6</v>
      </c>
      <c r="H234" s="1">
        <v>3707.6</v>
      </c>
      <c r="I234" s="1">
        <v>0</v>
      </c>
      <c r="J234" s="1">
        <v>3416.58</v>
      </c>
      <c r="K234" s="1">
        <v>3416.58</v>
      </c>
      <c r="L234" s="1">
        <v>0</v>
      </c>
      <c r="M234" s="1">
        <v>3755.49</v>
      </c>
      <c r="N234" s="1">
        <v>3755.49</v>
      </c>
      <c r="O234" s="1">
        <v>0</v>
      </c>
      <c r="P234" s="1">
        <v>4247.26</v>
      </c>
      <c r="Q234" s="1">
        <v>4247.26</v>
      </c>
      <c r="R234" s="1">
        <v>0</v>
      </c>
      <c r="S234" s="1">
        <v>242.09</v>
      </c>
      <c r="T234" s="1">
        <v>242.09</v>
      </c>
      <c r="U234" s="1">
        <v>0</v>
      </c>
      <c r="V234" s="1">
        <v>4317.42</v>
      </c>
      <c r="W234" s="1">
        <v>4317.42</v>
      </c>
      <c r="X234" s="1">
        <v>0</v>
      </c>
      <c r="Y234" s="1">
        <v>19686.439999999999</v>
      </c>
      <c r="Z234" s="1">
        <v>3707.6</v>
      </c>
    </row>
    <row r="235" spans="1:26" x14ac:dyDescent="0.35">
      <c r="A235">
        <v>233</v>
      </c>
      <c r="B235">
        <v>2004</v>
      </c>
      <c r="C235" t="s">
        <v>178</v>
      </c>
      <c r="D235">
        <v>922912</v>
      </c>
      <c r="E235" t="s">
        <v>185</v>
      </c>
      <c r="F235" s="1">
        <v>0</v>
      </c>
      <c r="G235" s="1">
        <v>32148.94</v>
      </c>
      <c r="H235" s="1">
        <v>32148.94</v>
      </c>
      <c r="I235" s="1">
        <v>0</v>
      </c>
      <c r="J235" s="1">
        <v>24643.54</v>
      </c>
      <c r="K235" s="1">
        <v>24643.54</v>
      </c>
      <c r="L235" s="1">
        <v>0</v>
      </c>
      <c r="M235" s="1">
        <v>21252.76</v>
      </c>
      <c r="N235" s="1">
        <v>21252.76</v>
      </c>
      <c r="O235" s="1">
        <v>0</v>
      </c>
      <c r="P235" s="1">
        <v>22678.06</v>
      </c>
      <c r="Q235" s="1">
        <v>22678.06</v>
      </c>
      <c r="R235" s="1">
        <v>0</v>
      </c>
      <c r="S235" s="1">
        <v>26218.400000000001</v>
      </c>
      <c r="T235" s="1">
        <v>26218.400000000001</v>
      </c>
      <c r="U235" s="1">
        <v>0</v>
      </c>
      <c r="V235" s="1">
        <v>22062.85</v>
      </c>
      <c r="W235" s="1">
        <v>22062.85</v>
      </c>
      <c r="X235" s="1">
        <v>0</v>
      </c>
      <c r="Y235" s="1">
        <v>149004.54999999999</v>
      </c>
      <c r="Z235" s="1">
        <v>32148.94</v>
      </c>
    </row>
    <row r="236" spans="1:26" x14ac:dyDescent="0.35">
      <c r="A236">
        <v>234</v>
      </c>
      <c r="B236">
        <v>2004</v>
      </c>
      <c r="C236" t="s">
        <v>178</v>
      </c>
      <c r="D236">
        <v>923111</v>
      </c>
      <c r="E236" t="s">
        <v>186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300</v>
      </c>
      <c r="N236" s="1">
        <v>300</v>
      </c>
      <c r="O236" s="1">
        <v>0</v>
      </c>
      <c r="P236" s="1">
        <v>1300</v>
      </c>
      <c r="Q236" s="1">
        <v>1300</v>
      </c>
      <c r="R236" s="1">
        <v>0</v>
      </c>
      <c r="S236" s="1">
        <v>0</v>
      </c>
      <c r="T236" s="1">
        <v>0</v>
      </c>
      <c r="U236" s="1">
        <v>0</v>
      </c>
      <c r="V236" s="1">
        <v>2549.37</v>
      </c>
      <c r="W236" s="1">
        <v>2549.37</v>
      </c>
      <c r="X236" s="1">
        <v>0</v>
      </c>
      <c r="Y236" s="1">
        <v>4149.37</v>
      </c>
      <c r="Z236" s="1">
        <v>0</v>
      </c>
    </row>
    <row r="237" spans="1:26" x14ac:dyDescent="0.35">
      <c r="A237">
        <v>235</v>
      </c>
      <c r="B237">
        <v>2004</v>
      </c>
      <c r="C237" t="s">
        <v>178</v>
      </c>
      <c r="D237">
        <v>923112</v>
      </c>
      <c r="E237" t="s">
        <v>125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</row>
    <row r="238" spans="1:26" x14ac:dyDescent="0.35">
      <c r="A238">
        <v>236</v>
      </c>
      <c r="B238">
        <v>2004</v>
      </c>
      <c r="C238" t="s">
        <v>178</v>
      </c>
      <c r="D238">
        <v>923411</v>
      </c>
      <c r="E238" t="s">
        <v>187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480</v>
      </c>
      <c r="T238" s="1">
        <v>480</v>
      </c>
      <c r="U238" s="1">
        <v>0</v>
      </c>
      <c r="V238" s="1">
        <v>0</v>
      </c>
      <c r="W238" s="1">
        <v>0</v>
      </c>
      <c r="X238" s="1">
        <v>0</v>
      </c>
      <c r="Y238" s="1">
        <v>480</v>
      </c>
      <c r="Z238" s="1">
        <v>0</v>
      </c>
    </row>
    <row r="239" spans="1:26" x14ac:dyDescent="0.35">
      <c r="A239">
        <v>237</v>
      </c>
      <c r="B239">
        <v>2004</v>
      </c>
      <c r="C239" t="s">
        <v>178</v>
      </c>
      <c r="D239">
        <v>923431</v>
      </c>
      <c r="E239" t="s">
        <v>165</v>
      </c>
      <c r="F239" s="1">
        <v>0</v>
      </c>
      <c r="G239" s="1">
        <v>2140.34</v>
      </c>
      <c r="H239" s="1">
        <v>2140.34</v>
      </c>
      <c r="I239" s="1">
        <v>0</v>
      </c>
      <c r="J239" s="1">
        <v>1876.93</v>
      </c>
      <c r="K239" s="1">
        <v>1876.93</v>
      </c>
      <c r="L239" s="1">
        <v>0</v>
      </c>
      <c r="M239" s="1">
        <v>4394.49</v>
      </c>
      <c r="N239" s="1">
        <v>4394.49</v>
      </c>
      <c r="O239" s="1">
        <v>0</v>
      </c>
      <c r="P239" s="1">
        <v>53261.47</v>
      </c>
      <c r="Q239" s="1">
        <v>53261.47</v>
      </c>
      <c r="R239" s="1">
        <v>0</v>
      </c>
      <c r="S239" s="1">
        <v>42511.62</v>
      </c>
      <c r="T239" s="1">
        <v>42511.62</v>
      </c>
      <c r="U239" s="1">
        <v>0</v>
      </c>
      <c r="V239" s="1">
        <v>121098.46</v>
      </c>
      <c r="W239" s="1">
        <v>121098.46</v>
      </c>
      <c r="X239" s="1">
        <v>0</v>
      </c>
      <c r="Y239" s="1">
        <v>225283.31</v>
      </c>
      <c r="Z239" s="1">
        <v>2140.34</v>
      </c>
    </row>
    <row r="240" spans="1:26" x14ac:dyDescent="0.35">
      <c r="A240">
        <v>238</v>
      </c>
      <c r="B240">
        <v>2004</v>
      </c>
      <c r="C240" t="s">
        <v>178</v>
      </c>
      <c r="D240">
        <v>923511</v>
      </c>
      <c r="E240" t="s">
        <v>139</v>
      </c>
      <c r="F240" s="1">
        <v>0</v>
      </c>
      <c r="G240" s="1">
        <v>0</v>
      </c>
      <c r="H240" s="1">
        <v>0</v>
      </c>
      <c r="I240" s="1">
        <v>0</v>
      </c>
      <c r="J240" s="1">
        <v>25718</v>
      </c>
      <c r="K240" s="1">
        <v>25718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25718</v>
      </c>
      <c r="Z240" s="1">
        <v>0</v>
      </c>
    </row>
    <row r="241" spans="1:26" x14ac:dyDescent="0.35">
      <c r="A241">
        <v>239</v>
      </c>
      <c r="B241">
        <v>2004</v>
      </c>
      <c r="C241" t="s">
        <v>178</v>
      </c>
      <c r="D241">
        <v>923531</v>
      </c>
      <c r="E241" t="s">
        <v>126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178</v>
      </c>
      <c r="T241" s="1">
        <v>178</v>
      </c>
      <c r="U241" s="1">
        <v>0</v>
      </c>
      <c r="V241" s="1">
        <v>0</v>
      </c>
      <c r="W241" s="1">
        <v>0</v>
      </c>
      <c r="X241" s="1">
        <v>0</v>
      </c>
      <c r="Y241" s="1">
        <v>178</v>
      </c>
      <c r="Z241" s="1">
        <v>0</v>
      </c>
    </row>
    <row r="242" spans="1:26" x14ac:dyDescent="0.35">
      <c r="A242">
        <v>240</v>
      </c>
      <c r="B242">
        <v>2004</v>
      </c>
      <c r="C242" t="s">
        <v>178</v>
      </c>
      <c r="D242">
        <v>923541</v>
      </c>
      <c r="E242" t="s">
        <v>188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</row>
    <row r="243" spans="1:26" x14ac:dyDescent="0.35">
      <c r="A243">
        <v>241</v>
      </c>
      <c r="B243">
        <v>2004</v>
      </c>
      <c r="C243" t="s">
        <v>178</v>
      </c>
      <c r="D243">
        <v>923561</v>
      </c>
      <c r="E243" t="s">
        <v>127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</row>
    <row r="244" spans="1:26" x14ac:dyDescent="0.35">
      <c r="A244">
        <v>242</v>
      </c>
      <c r="B244">
        <v>2004</v>
      </c>
      <c r="C244" t="s">
        <v>178</v>
      </c>
      <c r="D244">
        <v>923621</v>
      </c>
      <c r="E244" t="s">
        <v>189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</row>
    <row r="245" spans="1:26" x14ac:dyDescent="0.35">
      <c r="A245">
        <v>243</v>
      </c>
      <c r="B245">
        <v>2004</v>
      </c>
      <c r="C245" t="s">
        <v>178</v>
      </c>
      <c r="D245">
        <v>923651</v>
      </c>
      <c r="E245" t="s">
        <v>190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</row>
    <row r="246" spans="1:26" x14ac:dyDescent="0.35">
      <c r="A246">
        <v>244</v>
      </c>
      <c r="B246">
        <v>2004</v>
      </c>
      <c r="C246" t="s">
        <v>178</v>
      </c>
      <c r="D246">
        <v>923911</v>
      </c>
      <c r="E246" t="s">
        <v>176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</row>
    <row r="247" spans="1:26" x14ac:dyDescent="0.35">
      <c r="A247">
        <v>245</v>
      </c>
      <c r="B247">
        <v>2004</v>
      </c>
      <c r="C247" t="s">
        <v>178</v>
      </c>
      <c r="D247">
        <v>923921</v>
      </c>
      <c r="E247" t="s">
        <v>177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8840.34</v>
      </c>
      <c r="N247" s="1">
        <v>8840.34</v>
      </c>
      <c r="O247" s="1">
        <v>0</v>
      </c>
      <c r="P247" s="1">
        <v>308</v>
      </c>
      <c r="Q247" s="1">
        <v>308</v>
      </c>
      <c r="R247" s="1">
        <v>0</v>
      </c>
      <c r="S247" s="1">
        <v>28</v>
      </c>
      <c r="T247" s="1">
        <v>28</v>
      </c>
      <c r="U247" s="1">
        <v>0</v>
      </c>
      <c r="V247" s="1">
        <v>0</v>
      </c>
      <c r="W247" s="1">
        <v>0</v>
      </c>
      <c r="X247" s="1">
        <v>0</v>
      </c>
      <c r="Y247" s="1">
        <v>9176.34</v>
      </c>
      <c r="Z247" s="1">
        <v>0</v>
      </c>
    </row>
    <row r="248" spans="1:26" x14ac:dyDescent="0.35">
      <c r="A248">
        <v>246</v>
      </c>
      <c r="B248">
        <v>2004</v>
      </c>
      <c r="C248" t="s">
        <v>178</v>
      </c>
      <c r="D248">
        <v>924331</v>
      </c>
      <c r="E248" t="s">
        <v>191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1086</v>
      </c>
      <c r="N248" s="1">
        <v>1086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500.98</v>
      </c>
      <c r="W248" s="1">
        <v>500.98</v>
      </c>
      <c r="X248" s="1">
        <v>0</v>
      </c>
      <c r="Y248" s="1">
        <v>1586.98</v>
      </c>
      <c r="Z248" s="1">
        <v>0</v>
      </c>
    </row>
    <row r="249" spans="1:26" x14ac:dyDescent="0.35">
      <c r="A249">
        <v>247</v>
      </c>
      <c r="B249">
        <v>2004</v>
      </c>
      <c r="C249" t="s">
        <v>178</v>
      </c>
      <c r="D249">
        <v>925111</v>
      </c>
      <c r="E249" t="s">
        <v>192</v>
      </c>
      <c r="F249" s="1">
        <v>0</v>
      </c>
      <c r="G249" s="1">
        <v>1766.54</v>
      </c>
      <c r="H249" s="1">
        <v>1766.54</v>
      </c>
      <c r="I249" s="1">
        <v>0</v>
      </c>
      <c r="J249" s="1">
        <v>6018.8</v>
      </c>
      <c r="K249" s="1">
        <v>6018.8</v>
      </c>
      <c r="L249" s="1">
        <v>0</v>
      </c>
      <c r="M249" s="1">
        <v>5324.51</v>
      </c>
      <c r="N249" s="1">
        <v>5324.51</v>
      </c>
      <c r="O249" s="1">
        <v>0</v>
      </c>
      <c r="P249" s="1">
        <v>4752.83</v>
      </c>
      <c r="Q249" s="1">
        <v>4752.83</v>
      </c>
      <c r="R249" s="1">
        <v>0</v>
      </c>
      <c r="S249" s="1">
        <v>4672.43</v>
      </c>
      <c r="T249" s="1">
        <v>4672.43</v>
      </c>
      <c r="U249" s="1">
        <v>0</v>
      </c>
      <c r="V249" s="1">
        <v>4853.57</v>
      </c>
      <c r="W249" s="1">
        <v>4853.57</v>
      </c>
      <c r="X249" s="1">
        <v>0</v>
      </c>
      <c r="Y249" s="1">
        <v>27388.68</v>
      </c>
      <c r="Z249" s="1">
        <v>1766.54</v>
      </c>
    </row>
    <row r="250" spans="1:26" x14ac:dyDescent="0.35">
      <c r="A250">
        <v>248</v>
      </c>
      <c r="B250">
        <v>2004</v>
      </c>
      <c r="C250" t="s">
        <v>178</v>
      </c>
      <c r="D250">
        <v>925611</v>
      </c>
      <c r="E250" t="s">
        <v>154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2718.77</v>
      </c>
      <c r="N250" s="1">
        <v>2718.77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2718.77</v>
      </c>
      <c r="Z250" s="1">
        <v>0</v>
      </c>
    </row>
    <row r="251" spans="1:26" x14ac:dyDescent="0.35">
      <c r="A251">
        <v>249</v>
      </c>
      <c r="B251">
        <v>2004</v>
      </c>
      <c r="C251" t="s">
        <v>178</v>
      </c>
      <c r="D251">
        <v>925911</v>
      </c>
      <c r="E251" t="s">
        <v>193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</row>
    <row r="252" spans="1:26" x14ac:dyDescent="0.35">
      <c r="A252">
        <v>250</v>
      </c>
      <c r="B252">
        <v>2004</v>
      </c>
      <c r="C252" t="s">
        <v>178</v>
      </c>
      <c r="D252">
        <v>927611</v>
      </c>
      <c r="E252" t="s">
        <v>194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0.96</v>
      </c>
      <c r="W252" s="1">
        <v>0.96</v>
      </c>
      <c r="X252" s="1">
        <v>0</v>
      </c>
      <c r="Y252" s="1">
        <v>0.96</v>
      </c>
      <c r="Z252" s="1">
        <v>0</v>
      </c>
    </row>
    <row r="253" spans="1:26" x14ac:dyDescent="0.35">
      <c r="A253">
        <v>251</v>
      </c>
      <c r="B253">
        <v>2004</v>
      </c>
      <c r="C253" t="s">
        <v>178</v>
      </c>
      <c r="D253">
        <v>928411</v>
      </c>
      <c r="E253" t="s">
        <v>161</v>
      </c>
      <c r="F253" s="1">
        <v>0</v>
      </c>
      <c r="G253" s="1">
        <v>200.25</v>
      </c>
      <c r="H253" s="1">
        <v>200.25</v>
      </c>
      <c r="I253" s="1">
        <v>0</v>
      </c>
      <c r="J253" s="1">
        <v>200.26</v>
      </c>
      <c r="K253" s="1">
        <v>200.26</v>
      </c>
      <c r="L253" s="1">
        <v>0</v>
      </c>
      <c r="M253" s="1">
        <v>200.25</v>
      </c>
      <c r="N253" s="1">
        <v>200.25</v>
      </c>
      <c r="O253" s="1">
        <v>0</v>
      </c>
      <c r="P253" s="1">
        <v>200.26</v>
      </c>
      <c r="Q253" s="1">
        <v>200.26</v>
      </c>
      <c r="R253" s="1">
        <v>0</v>
      </c>
      <c r="S253" s="1">
        <v>200.25</v>
      </c>
      <c r="T253" s="1">
        <v>200.25</v>
      </c>
      <c r="U253" s="1">
        <v>0</v>
      </c>
      <c r="V253" s="1">
        <v>200.26</v>
      </c>
      <c r="W253" s="1">
        <v>200.26</v>
      </c>
      <c r="X253" s="1">
        <v>0</v>
      </c>
      <c r="Y253" s="1">
        <v>1201.53</v>
      </c>
      <c r="Z253" s="1">
        <v>200.25</v>
      </c>
    </row>
    <row r="254" spans="1:26" x14ac:dyDescent="0.35">
      <c r="A254">
        <v>252</v>
      </c>
      <c r="B254">
        <v>2004</v>
      </c>
      <c r="C254" t="s">
        <v>178</v>
      </c>
      <c r="D254">
        <v>928412</v>
      </c>
      <c r="E254" t="s">
        <v>142</v>
      </c>
      <c r="F254" s="1">
        <v>0</v>
      </c>
      <c r="G254" s="1">
        <v>26964.48</v>
      </c>
      <c r="H254" s="1">
        <v>26964.48</v>
      </c>
      <c r="I254" s="1">
        <v>0</v>
      </c>
      <c r="J254" s="1">
        <v>26964.52</v>
      </c>
      <c r="K254" s="1">
        <v>26964.52</v>
      </c>
      <c r="L254" s="1">
        <v>0</v>
      </c>
      <c r="M254" s="1">
        <v>26964.44</v>
      </c>
      <c r="N254" s="1">
        <v>26964.44</v>
      </c>
      <c r="O254" s="1">
        <v>0</v>
      </c>
      <c r="P254" s="1">
        <v>26964.55</v>
      </c>
      <c r="Q254" s="1">
        <v>26964.55</v>
      </c>
      <c r="R254" s="1">
        <v>0</v>
      </c>
      <c r="S254" s="1">
        <v>26964.44</v>
      </c>
      <c r="T254" s="1">
        <v>26964.44</v>
      </c>
      <c r="U254" s="1">
        <v>0</v>
      </c>
      <c r="V254" s="1">
        <v>26964.57</v>
      </c>
      <c r="W254" s="1">
        <v>26964.57</v>
      </c>
      <c r="X254" s="1">
        <v>0</v>
      </c>
      <c r="Y254" s="1">
        <v>161787</v>
      </c>
      <c r="Z254" s="1">
        <v>26964.48</v>
      </c>
    </row>
    <row r="255" spans="1:26" x14ac:dyDescent="0.35">
      <c r="A255">
        <v>253</v>
      </c>
      <c r="B255">
        <v>2004</v>
      </c>
      <c r="C255" t="s">
        <v>178</v>
      </c>
      <c r="D255">
        <v>928413</v>
      </c>
      <c r="E255" t="s">
        <v>195</v>
      </c>
      <c r="F255" s="1">
        <v>0</v>
      </c>
      <c r="G255" s="1">
        <v>14780.43</v>
      </c>
      <c r="H255" s="1">
        <v>14780.43</v>
      </c>
      <c r="I255" s="1">
        <v>0</v>
      </c>
      <c r="J255" s="1">
        <v>14780.41</v>
      </c>
      <c r="K255" s="1">
        <v>14780.41</v>
      </c>
      <c r="L255" s="1">
        <v>0</v>
      </c>
      <c r="M255" s="1">
        <v>12235.95</v>
      </c>
      <c r="N255" s="1">
        <v>12235.95</v>
      </c>
      <c r="O255" s="1">
        <v>0</v>
      </c>
      <c r="P255" s="1">
        <v>21694.06</v>
      </c>
      <c r="Q255" s="1">
        <v>21694.06</v>
      </c>
      <c r="R255" s="1">
        <v>0</v>
      </c>
      <c r="S255" s="1">
        <v>21694.18</v>
      </c>
      <c r="T255" s="1">
        <v>21694.18</v>
      </c>
      <c r="U255" s="1">
        <v>0</v>
      </c>
      <c r="V255" s="1">
        <v>17657.75</v>
      </c>
      <c r="W255" s="1">
        <v>17657.75</v>
      </c>
      <c r="X255" s="1">
        <v>0</v>
      </c>
      <c r="Y255" s="1">
        <v>102842.78</v>
      </c>
      <c r="Z255" s="1">
        <v>14780.43</v>
      </c>
    </row>
    <row r="256" spans="1:26" x14ac:dyDescent="0.35">
      <c r="A256">
        <v>254</v>
      </c>
      <c r="B256">
        <v>2004</v>
      </c>
      <c r="C256" t="s">
        <v>178</v>
      </c>
      <c r="D256">
        <v>943121</v>
      </c>
      <c r="E256" t="s">
        <v>196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12.71</v>
      </c>
      <c r="W256" s="1">
        <v>12.71</v>
      </c>
      <c r="X256" s="1">
        <v>0</v>
      </c>
      <c r="Y256" s="1">
        <v>12.71</v>
      </c>
      <c r="Z256" s="1">
        <v>0</v>
      </c>
    </row>
    <row r="257" spans="1:26" x14ac:dyDescent="0.35">
      <c r="A257">
        <v>255</v>
      </c>
      <c r="B257">
        <v>2004</v>
      </c>
      <c r="C257" t="s">
        <v>178</v>
      </c>
      <c r="D257">
        <v>948411</v>
      </c>
      <c r="E257" t="s">
        <v>161</v>
      </c>
      <c r="F257" s="1">
        <v>0</v>
      </c>
      <c r="G257" s="1">
        <v>25.95</v>
      </c>
      <c r="H257" s="1">
        <v>25.95</v>
      </c>
      <c r="I257" s="1">
        <v>0</v>
      </c>
      <c r="J257" s="1">
        <v>25.95</v>
      </c>
      <c r="K257" s="1">
        <v>25.95</v>
      </c>
      <c r="L257" s="1">
        <v>0</v>
      </c>
      <c r="M257" s="1">
        <v>25.95</v>
      </c>
      <c r="N257" s="1">
        <v>25.95</v>
      </c>
      <c r="O257" s="1">
        <v>0</v>
      </c>
      <c r="P257" s="1">
        <v>25.95</v>
      </c>
      <c r="Q257" s="1">
        <v>25.95</v>
      </c>
      <c r="R257" s="1">
        <v>0</v>
      </c>
      <c r="S257" s="1">
        <v>25.95</v>
      </c>
      <c r="T257" s="1">
        <v>25.95</v>
      </c>
      <c r="U257" s="1">
        <v>0</v>
      </c>
      <c r="V257" s="1">
        <v>25.95</v>
      </c>
      <c r="W257" s="1">
        <v>25.95</v>
      </c>
      <c r="X257" s="1">
        <v>0</v>
      </c>
      <c r="Y257" s="1">
        <v>155.69999999999999</v>
      </c>
      <c r="Z257" s="1">
        <v>25.95</v>
      </c>
    </row>
    <row r="258" spans="1:26" x14ac:dyDescent="0.35">
      <c r="A258">
        <v>256</v>
      </c>
      <c r="B258">
        <v>2004</v>
      </c>
      <c r="C258" t="s">
        <v>178</v>
      </c>
      <c r="D258">
        <v>922113</v>
      </c>
      <c r="E258" t="s">
        <v>197</v>
      </c>
      <c r="F258" s="1">
        <v>0</v>
      </c>
      <c r="G258" s="1">
        <v>20036.3</v>
      </c>
      <c r="H258" s="1">
        <v>20036.3</v>
      </c>
      <c r="I258" s="1">
        <v>0</v>
      </c>
      <c r="J258" s="1">
        <v>14216.18</v>
      </c>
      <c r="K258" s="1">
        <v>14216.18</v>
      </c>
      <c r="L258" s="1">
        <v>0</v>
      </c>
      <c r="M258" s="1">
        <v>10481.77</v>
      </c>
      <c r="N258" s="1">
        <v>10481.77</v>
      </c>
      <c r="O258" s="1">
        <v>0</v>
      </c>
      <c r="P258" s="1">
        <v>13716.03</v>
      </c>
      <c r="Q258" s="1">
        <v>13716.03</v>
      </c>
      <c r="R258" s="1">
        <v>0</v>
      </c>
      <c r="S258" s="1">
        <v>17284.830000000002</v>
      </c>
      <c r="T258" s="1">
        <v>17284.830000000002</v>
      </c>
      <c r="U258" s="1">
        <v>0</v>
      </c>
      <c r="V258" s="1">
        <v>14339.32</v>
      </c>
      <c r="W258" s="1">
        <v>14339.32</v>
      </c>
      <c r="X258" s="1">
        <v>0</v>
      </c>
      <c r="Y258" s="1">
        <v>90074.43</v>
      </c>
      <c r="Z258" s="1">
        <v>20036.3</v>
      </c>
    </row>
    <row r="259" spans="1:26" x14ac:dyDescent="0.35">
      <c r="A259">
        <v>257</v>
      </c>
      <c r="B259">
        <v>2004</v>
      </c>
      <c r="C259" t="s">
        <v>178</v>
      </c>
      <c r="D259">
        <v>922114</v>
      </c>
      <c r="E259" t="s">
        <v>198</v>
      </c>
      <c r="F259" s="1">
        <v>0</v>
      </c>
      <c r="G259" s="1">
        <v>8103.6</v>
      </c>
      <c r="H259" s="1">
        <v>8103.6</v>
      </c>
      <c r="I259" s="1">
        <v>0</v>
      </c>
      <c r="J259" s="1">
        <v>4768.37</v>
      </c>
      <c r="K259" s="1">
        <v>4768.37</v>
      </c>
      <c r="L259" s="1">
        <v>0</v>
      </c>
      <c r="M259" s="1">
        <v>4718.3999999999996</v>
      </c>
      <c r="N259" s="1">
        <v>4718.3999999999996</v>
      </c>
      <c r="O259" s="1">
        <v>0</v>
      </c>
      <c r="P259" s="1">
        <v>6840.25</v>
      </c>
      <c r="Q259" s="1">
        <v>6840.25</v>
      </c>
      <c r="R259" s="1">
        <v>0</v>
      </c>
      <c r="S259" s="1">
        <v>8238.49</v>
      </c>
      <c r="T259" s="1">
        <v>8238.49</v>
      </c>
      <c r="U259" s="1">
        <v>0</v>
      </c>
      <c r="V259" s="1">
        <v>9230.58</v>
      </c>
      <c r="W259" s="1">
        <v>9230.58</v>
      </c>
      <c r="X259" s="1">
        <v>0</v>
      </c>
      <c r="Y259" s="1">
        <v>41899.69</v>
      </c>
      <c r="Z259" s="1">
        <v>8103.6</v>
      </c>
    </row>
    <row r="260" spans="1:26" x14ac:dyDescent="0.35">
      <c r="A260">
        <v>258</v>
      </c>
      <c r="B260">
        <v>2004</v>
      </c>
      <c r="C260" t="s">
        <v>178</v>
      </c>
      <c r="D260">
        <v>922115</v>
      </c>
      <c r="E260" t="s">
        <v>199</v>
      </c>
      <c r="F260" s="1">
        <v>0</v>
      </c>
      <c r="G260" s="1">
        <v>5268.41</v>
      </c>
      <c r="H260" s="1">
        <v>5268.41</v>
      </c>
      <c r="I260" s="1">
        <v>0</v>
      </c>
      <c r="J260" s="1">
        <v>3046.34</v>
      </c>
      <c r="K260" s="1">
        <v>3046.34</v>
      </c>
      <c r="L260" s="1">
        <v>0</v>
      </c>
      <c r="M260" s="1">
        <v>3067.98</v>
      </c>
      <c r="N260" s="1">
        <v>3067.98</v>
      </c>
      <c r="O260" s="1">
        <v>0</v>
      </c>
      <c r="P260" s="1">
        <v>3945.66</v>
      </c>
      <c r="Q260" s="1">
        <v>3945.66</v>
      </c>
      <c r="R260" s="1">
        <v>0</v>
      </c>
      <c r="S260" s="1">
        <v>5213.9799999999996</v>
      </c>
      <c r="T260" s="1">
        <v>5213.9799999999996</v>
      </c>
      <c r="U260" s="1">
        <v>0</v>
      </c>
      <c r="V260" s="1">
        <v>5123.7700000000004</v>
      </c>
      <c r="W260" s="1">
        <v>5123.7700000000004</v>
      </c>
      <c r="X260" s="1">
        <v>0</v>
      </c>
      <c r="Y260" s="1">
        <v>25666.14</v>
      </c>
      <c r="Z260" s="1">
        <v>5268.41</v>
      </c>
    </row>
    <row r="261" spans="1:26" x14ac:dyDescent="0.35">
      <c r="A261">
        <v>259</v>
      </c>
      <c r="B261">
        <v>2004</v>
      </c>
      <c r="C261" t="s">
        <v>178</v>
      </c>
      <c r="D261">
        <v>922116</v>
      </c>
      <c r="E261" t="s">
        <v>200</v>
      </c>
      <c r="F261" s="1">
        <v>0</v>
      </c>
      <c r="G261" s="1">
        <v>6626.61</v>
      </c>
      <c r="H261" s="1">
        <v>6626.61</v>
      </c>
      <c r="I261" s="1">
        <v>0</v>
      </c>
      <c r="J261" s="1">
        <v>3570.06</v>
      </c>
      <c r="K261" s="1">
        <v>3570.06</v>
      </c>
      <c r="L261" s="1">
        <v>0</v>
      </c>
      <c r="M261" s="1">
        <v>6495.32</v>
      </c>
      <c r="N261" s="1">
        <v>6495.32</v>
      </c>
      <c r="O261" s="1">
        <v>0</v>
      </c>
      <c r="P261" s="1">
        <v>13723.74</v>
      </c>
      <c r="Q261" s="1">
        <v>13723.74</v>
      </c>
      <c r="R261" s="1">
        <v>0</v>
      </c>
      <c r="S261" s="1">
        <v>6977.25</v>
      </c>
      <c r="T261" s="1">
        <v>6977.25</v>
      </c>
      <c r="U261" s="1">
        <v>0</v>
      </c>
      <c r="V261" s="1">
        <v>13201.04</v>
      </c>
      <c r="W261" s="1">
        <v>13201.04</v>
      </c>
      <c r="X261" s="1">
        <v>0</v>
      </c>
      <c r="Y261" s="1">
        <v>50594.02</v>
      </c>
      <c r="Z261" s="1">
        <v>6626.61</v>
      </c>
    </row>
    <row r="262" spans="1:26" x14ac:dyDescent="0.35">
      <c r="A262">
        <v>260</v>
      </c>
      <c r="B262">
        <v>2004</v>
      </c>
      <c r="C262" t="s">
        <v>178</v>
      </c>
      <c r="D262">
        <v>923922</v>
      </c>
      <c r="E262" t="s">
        <v>167</v>
      </c>
      <c r="F262" s="1">
        <v>0</v>
      </c>
      <c r="G262" s="1">
        <v>58409.91</v>
      </c>
      <c r="H262" s="1">
        <v>58409.91</v>
      </c>
      <c r="I262" s="1">
        <v>0</v>
      </c>
      <c r="J262" s="1">
        <v>8257.33</v>
      </c>
      <c r="K262" s="1">
        <v>8257.33</v>
      </c>
      <c r="L262" s="1">
        <v>0</v>
      </c>
      <c r="M262" s="1">
        <v>83071.149999999994</v>
      </c>
      <c r="N262" s="1">
        <v>83071.149999999994</v>
      </c>
      <c r="O262" s="1">
        <v>0</v>
      </c>
      <c r="P262" s="1">
        <v>77938.34</v>
      </c>
      <c r="Q262" s="1">
        <v>77938.34</v>
      </c>
      <c r="R262" s="1">
        <v>0</v>
      </c>
      <c r="S262" s="1">
        <v>80890.78</v>
      </c>
      <c r="T262" s="1">
        <v>80890.78</v>
      </c>
      <c r="U262" s="1">
        <v>0</v>
      </c>
      <c r="V262" s="1">
        <v>110235.45</v>
      </c>
      <c r="W262" s="1">
        <v>110235.45</v>
      </c>
      <c r="X262" s="1">
        <v>0</v>
      </c>
      <c r="Y262" s="1">
        <v>418802.96</v>
      </c>
      <c r="Z262" s="1">
        <v>58409.91</v>
      </c>
    </row>
    <row r="263" spans="1:26" x14ac:dyDescent="0.35">
      <c r="A263">
        <v>261</v>
      </c>
      <c r="B263">
        <v>2004</v>
      </c>
      <c r="C263" t="s">
        <v>178</v>
      </c>
      <c r="D263">
        <v>925612</v>
      </c>
      <c r="E263" t="s">
        <v>168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901.02</v>
      </c>
      <c r="W263" s="1">
        <v>901.02</v>
      </c>
      <c r="X263" s="1">
        <v>0</v>
      </c>
      <c r="Y263" s="1">
        <v>901.02</v>
      </c>
      <c r="Z263" s="1">
        <v>0</v>
      </c>
    </row>
    <row r="264" spans="1:26" x14ac:dyDescent="0.35">
      <c r="A264">
        <v>262</v>
      </c>
      <c r="B264">
        <v>2004</v>
      </c>
      <c r="C264" t="s">
        <v>178</v>
      </c>
      <c r="D264">
        <v>925613</v>
      </c>
      <c r="E264" t="s">
        <v>201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515.25</v>
      </c>
      <c r="N264" s="1">
        <v>515.25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515.25</v>
      </c>
      <c r="Z264" s="1">
        <v>0</v>
      </c>
    </row>
    <row r="265" spans="1:26" x14ac:dyDescent="0.35">
      <c r="A265">
        <v>263</v>
      </c>
      <c r="B265">
        <v>2004</v>
      </c>
      <c r="C265" t="s">
        <v>178</v>
      </c>
      <c r="D265">
        <v>925614</v>
      </c>
      <c r="E265" t="s">
        <v>164</v>
      </c>
      <c r="F265" s="1">
        <v>0</v>
      </c>
      <c r="G265" s="1">
        <v>38.729999999999997</v>
      </c>
      <c r="H265" s="1">
        <v>38.729999999999997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38.729999999999997</v>
      </c>
      <c r="Z265" s="1">
        <v>38.729999999999997</v>
      </c>
    </row>
    <row r="266" spans="1:26" x14ac:dyDescent="0.35">
      <c r="A266">
        <v>264</v>
      </c>
      <c r="B266">
        <v>2004</v>
      </c>
      <c r="C266" t="s">
        <v>178</v>
      </c>
      <c r="D266">
        <v>925615</v>
      </c>
      <c r="E266" t="s">
        <v>144</v>
      </c>
      <c r="F266" s="1">
        <v>0</v>
      </c>
      <c r="G266" s="1">
        <v>5916.41</v>
      </c>
      <c r="H266" s="1">
        <v>5916.41</v>
      </c>
      <c r="I266" s="1">
        <v>0</v>
      </c>
      <c r="J266" s="1">
        <v>5533.09</v>
      </c>
      <c r="K266" s="1">
        <v>5533.09</v>
      </c>
      <c r="L266" s="1">
        <v>0</v>
      </c>
      <c r="M266" s="1">
        <v>7840.61</v>
      </c>
      <c r="N266" s="1">
        <v>7840.61</v>
      </c>
      <c r="O266" s="1">
        <v>0</v>
      </c>
      <c r="P266" s="1">
        <v>6980.46</v>
      </c>
      <c r="Q266" s="1">
        <v>6980.46</v>
      </c>
      <c r="R266" s="1">
        <v>0</v>
      </c>
      <c r="S266" s="1">
        <v>6008.65</v>
      </c>
      <c r="T266" s="1">
        <v>6008.65</v>
      </c>
      <c r="U266" s="1">
        <v>0</v>
      </c>
      <c r="V266" s="1">
        <v>5592.46</v>
      </c>
      <c r="W266" s="1">
        <v>5592.46</v>
      </c>
      <c r="X266" s="1">
        <v>0</v>
      </c>
      <c r="Y266" s="1">
        <v>37871.68</v>
      </c>
      <c r="Z266" s="1">
        <v>5916.41</v>
      </c>
    </row>
    <row r="267" spans="1:26" x14ac:dyDescent="0.35">
      <c r="A267">
        <v>265</v>
      </c>
      <c r="B267">
        <v>2004</v>
      </c>
      <c r="C267" t="s">
        <v>178</v>
      </c>
      <c r="D267">
        <v>943115</v>
      </c>
      <c r="E267" t="s">
        <v>202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5.08</v>
      </c>
      <c r="W267" s="1">
        <v>5.08</v>
      </c>
      <c r="X267" s="1">
        <v>0</v>
      </c>
      <c r="Y267" s="1">
        <v>5.08</v>
      </c>
      <c r="Z267" s="1">
        <v>0</v>
      </c>
    </row>
    <row r="268" spans="1:26" x14ac:dyDescent="0.35">
      <c r="A268">
        <v>266</v>
      </c>
      <c r="B268">
        <v>2004</v>
      </c>
      <c r="C268" t="s">
        <v>178</v>
      </c>
      <c r="D268">
        <v>943916</v>
      </c>
      <c r="E268" t="s">
        <v>167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4575</v>
      </c>
      <c r="W268" s="1">
        <v>4575</v>
      </c>
      <c r="X268" s="1">
        <v>0</v>
      </c>
      <c r="Y268" s="1">
        <v>4575</v>
      </c>
      <c r="Z268" s="1">
        <v>0</v>
      </c>
    </row>
    <row r="269" spans="1:26" x14ac:dyDescent="0.35">
      <c r="A269">
        <v>267</v>
      </c>
      <c r="B269">
        <v>2004</v>
      </c>
      <c r="C269" t="s">
        <v>178</v>
      </c>
      <c r="D269">
        <v>912512</v>
      </c>
      <c r="E269" t="s">
        <v>203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</row>
    <row r="270" spans="1:26" x14ac:dyDescent="0.35">
      <c r="A270">
        <v>268</v>
      </c>
      <c r="B270">
        <v>2004</v>
      </c>
      <c r="C270" t="s">
        <v>178</v>
      </c>
      <c r="D270">
        <v>925616</v>
      </c>
      <c r="E270" t="s">
        <v>124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7863.91</v>
      </c>
      <c r="T270" s="1">
        <v>7863.91</v>
      </c>
      <c r="U270" s="1">
        <v>0</v>
      </c>
      <c r="V270" s="1">
        <v>0</v>
      </c>
      <c r="W270" s="1">
        <v>0</v>
      </c>
      <c r="X270" s="1">
        <v>0</v>
      </c>
      <c r="Y270" s="1">
        <v>7863.91</v>
      </c>
      <c r="Z270" s="1">
        <v>0</v>
      </c>
    </row>
    <row r="271" spans="1:26" x14ac:dyDescent="0.35">
      <c r="A271">
        <v>269</v>
      </c>
      <c r="B271">
        <v>2005</v>
      </c>
      <c r="C271" t="s">
        <v>204</v>
      </c>
      <c r="D271">
        <v>928415</v>
      </c>
      <c r="E271" t="s">
        <v>166</v>
      </c>
      <c r="F271" s="1">
        <v>0</v>
      </c>
      <c r="G271" s="1">
        <v>18.27</v>
      </c>
      <c r="H271" s="1">
        <v>18.27</v>
      </c>
      <c r="I271" s="1">
        <v>0</v>
      </c>
      <c r="J271" s="1">
        <v>18.27</v>
      </c>
      <c r="K271" s="1">
        <v>18.27</v>
      </c>
      <c r="L271" s="1">
        <v>0</v>
      </c>
      <c r="M271" s="1">
        <v>18.27</v>
      </c>
      <c r="N271" s="1">
        <v>18.27</v>
      </c>
      <c r="O271" s="1">
        <v>0</v>
      </c>
      <c r="P271" s="1">
        <v>18.27</v>
      </c>
      <c r="Q271" s="1">
        <v>18.27</v>
      </c>
      <c r="R271" s="1">
        <v>0</v>
      </c>
      <c r="S271" s="1">
        <v>18.27</v>
      </c>
      <c r="T271" s="1">
        <v>18.27</v>
      </c>
      <c r="U271" s="1">
        <v>0</v>
      </c>
      <c r="V271" s="1">
        <v>18.27</v>
      </c>
      <c r="W271" s="1">
        <v>18.27</v>
      </c>
      <c r="X271" s="1">
        <v>0</v>
      </c>
      <c r="Y271" s="1">
        <v>109.62</v>
      </c>
      <c r="Z271" s="1">
        <v>18.27</v>
      </c>
    </row>
    <row r="272" spans="1:26" x14ac:dyDescent="0.35">
      <c r="A272">
        <v>270</v>
      </c>
      <c r="B272">
        <v>2006</v>
      </c>
      <c r="C272" t="s">
        <v>205</v>
      </c>
      <c r="D272">
        <v>928412</v>
      </c>
      <c r="E272" t="s">
        <v>142</v>
      </c>
      <c r="F272" s="1">
        <v>0</v>
      </c>
      <c r="G272" s="1">
        <v>4292.57</v>
      </c>
      <c r="H272" s="1">
        <v>4292.57</v>
      </c>
      <c r="I272" s="1">
        <v>0</v>
      </c>
      <c r="J272" s="1">
        <v>4292.8500000000004</v>
      </c>
      <c r="K272" s="1">
        <v>4292.8500000000004</v>
      </c>
      <c r="L272" s="1">
        <v>0</v>
      </c>
      <c r="M272" s="1">
        <v>4292.57</v>
      </c>
      <c r="N272" s="1">
        <v>4292.57</v>
      </c>
      <c r="O272" s="1">
        <v>0</v>
      </c>
      <c r="P272" s="1">
        <v>4292.8500000000004</v>
      </c>
      <c r="Q272" s="1">
        <v>4292.8500000000004</v>
      </c>
      <c r="R272" s="1">
        <v>0</v>
      </c>
      <c r="S272" s="1">
        <v>4292.57</v>
      </c>
      <c r="T272" s="1">
        <v>4292.57</v>
      </c>
      <c r="U272" s="1">
        <v>0</v>
      </c>
      <c r="V272" s="1">
        <v>4292.8599999999997</v>
      </c>
      <c r="W272" s="1">
        <v>4292.8599999999997</v>
      </c>
      <c r="X272" s="1">
        <v>0</v>
      </c>
      <c r="Y272" s="1">
        <v>25756.27</v>
      </c>
      <c r="Z272" s="1">
        <v>4292.57</v>
      </c>
    </row>
    <row r="273" spans="1:26" x14ac:dyDescent="0.35">
      <c r="A273">
        <v>271</v>
      </c>
      <c r="B273">
        <v>2007</v>
      </c>
      <c r="C273" t="s">
        <v>206</v>
      </c>
      <c r="D273">
        <v>928412</v>
      </c>
      <c r="E273" t="s">
        <v>142</v>
      </c>
      <c r="F273" s="1">
        <v>0</v>
      </c>
      <c r="G273" s="1">
        <v>5074.84</v>
      </c>
      <c r="H273" s="1">
        <v>5074.84</v>
      </c>
      <c r="I273" s="1">
        <v>0</v>
      </c>
      <c r="J273" s="1">
        <v>5074.92</v>
      </c>
      <c r="K273" s="1">
        <v>5074.92</v>
      </c>
      <c r="L273" s="1">
        <v>0</v>
      </c>
      <c r="M273" s="1">
        <v>5074.84</v>
      </c>
      <c r="N273" s="1">
        <v>5074.84</v>
      </c>
      <c r="O273" s="1">
        <v>0</v>
      </c>
      <c r="P273" s="1">
        <v>5074.92</v>
      </c>
      <c r="Q273" s="1">
        <v>5074.92</v>
      </c>
      <c r="R273" s="1">
        <v>0</v>
      </c>
      <c r="S273" s="1">
        <v>5074.84</v>
      </c>
      <c r="T273" s="1">
        <v>5074.84</v>
      </c>
      <c r="U273" s="1">
        <v>0</v>
      </c>
      <c r="V273" s="1">
        <v>5074.92</v>
      </c>
      <c r="W273" s="1">
        <v>5074.92</v>
      </c>
      <c r="X273" s="1">
        <v>0</v>
      </c>
      <c r="Y273" s="1">
        <v>30449.279999999999</v>
      </c>
      <c r="Z273" s="1">
        <v>5074.84</v>
      </c>
    </row>
    <row r="274" spans="1:26" x14ac:dyDescent="0.35">
      <c r="A274">
        <v>272</v>
      </c>
      <c r="B274">
        <v>2007</v>
      </c>
      <c r="C274" t="s">
        <v>206</v>
      </c>
      <c r="D274">
        <v>923431</v>
      </c>
      <c r="E274" t="s">
        <v>165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2160</v>
      </c>
      <c r="T274" s="1">
        <v>2160</v>
      </c>
      <c r="U274" s="1">
        <v>0</v>
      </c>
      <c r="V274" s="1">
        <v>0</v>
      </c>
      <c r="W274" s="1">
        <v>0</v>
      </c>
      <c r="X274" s="1">
        <v>0</v>
      </c>
      <c r="Y274" s="1">
        <v>2160</v>
      </c>
      <c r="Z274" s="1">
        <v>0</v>
      </c>
    </row>
    <row r="275" spans="1:26" x14ac:dyDescent="0.35">
      <c r="A275">
        <v>273</v>
      </c>
      <c r="B275">
        <v>2008</v>
      </c>
      <c r="C275" t="s">
        <v>207</v>
      </c>
      <c r="D275">
        <v>928412</v>
      </c>
      <c r="E275" t="s">
        <v>142</v>
      </c>
      <c r="F275" s="1">
        <v>0</v>
      </c>
      <c r="G275" s="1">
        <v>5434.29</v>
      </c>
      <c r="H275" s="1">
        <v>5434.29</v>
      </c>
      <c r="I275" s="1">
        <v>0</v>
      </c>
      <c r="J275" s="1">
        <v>5434.37</v>
      </c>
      <c r="K275" s="1">
        <v>5434.37</v>
      </c>
      <c r="L275" s="1">
        <v>0</v>
      </c>
      <c r="M275" s="1">
        <v>5434.29</v>
      </c>
      <c r="N275" s="1">
        <v>5434.29</v>
      </c>
      <c r="O275" s="1">
        <v>0</v>
      </c>
      <c r="P275" s="1">
        <v>5434.37</v>
      </c>
      <c r="Q275" s="1">
        <v>5434.37</v>
      </c>
      <c r="R275" s="1">
        <v>0</v>
      </c>
      <c r="S275" s="1">
        <v>5434.29</v>
      </c>
      <c r="T275" s="1">
        <v>5434.29</v>
      </c>
      <c r="U275" s="1">
        <v>0</v>
      </c>
      <c r="V275" s="1">
        <v>5434.37</v>
      </c>
      <c r="W275" s="1">
        <v>5434.37</v>
      </c>
      <c r="X275" s="1">
        <v>0</v>
      </c>
      <c r="Y275" s="1">
        <v>32605.98</v>
      </c>
      <c r="Z275" s="1">
        <v>5434.29</v>
      </c>
    </row>
    <row r="276" spans="1:26" x14ac:dyDescent="0.35">
      <c r="A276">
        <v>274</v>
      </c>
      <c r="B276">
        <v>2008</v>
      </c>
      <c r="C276" t="s">
        <v>207</v>
      </c>
      <c r="D276">
        <v>923431</v>
      </c>
      <c r="E276" t="s">
        <v>165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2160</v>
      </c>
      <c r="T276" s="1">
        <v>2160</v>
      </c>
      <c r="U276" s="1">
        <v>0</v>
      </c>
      <c r="V276" s="1">
        <v>0</v>
      </c>
      <c r="W276" s="1">
        <v>0</v>
      </c>
      <c r="X276" s="1">
        <v>0</v>
      </c>
      <c r="Y276" s="1">
        <v>2160</v>
      </c>
      <c r="Z276" s="1">
        <v>0</v>
      </c>
    </row>
    <row r="277" spans="1:26" x14ac:dyDescent="0.35">
      <c r="A277">
        <v>275</v>
      </c>
      <c r="B277">
        <v>2009</v>
      </c>
      <c r="C277" t="s">
        <v>208</v>
      </c>
      <c r="D277">
        <v>928412</v>
      </c>
      <c r="E277" t="s">
        <v>142</v>
      </c>
      <c r="F277" s="1">
        <v>0</v>
      </c>
      <c r="G277" s="1">
        <v>6869.09</v>
      </c>
      <c r="H277" s="1">
        <v>6869.09</v>
      </c>
      <c r="I277" s="1">
        <v>0</v>
      </c>
      <c r="J277" s="1">
        <v>6869.15</v>
      </c>
      <c r="K277" s="1">
        <v>6869.15</v>
      </c>
      <c r="L277" s="1">
        <v>0</v>
      </c>
      <c r="M277" s="1">
        <v>6869.09</v>
      </c>
      <c r="N277" s="1">
        <v>6869.09</v>
      </c>
      <c r="O277" s="1">
        <v>0</v>
      </c>
      <c r="P277" s="1">
        <v>4957.97</v>
      </c>
      <c r="Q277" s="1">
        <v>4957.97</v>
      </c>
      <c r="R277" s="1">
        <v>0</v>
      </c>
      <c r="S277" s="1">
        <v>4957.9399999999996</v>
      </c>
      <c r="T277" s="1">
        <v>4957.9399999999996</v>
      </c>
      <c r="U277" s="1">
        <v>0</v>
      </c>
      <c r="V277" s="1">
        <v>4957.97</v>
      </c>
      <c r="W277" s="1">
        <v>4957.97</v>
      </c>
      <c r="X277" s="1">
        <v>0</v>
      </c>
      <c r="Y277" s="1">
        <v>35481.21</v>
      </c>
      <c r="Z277" s="1">
        <v>6869.09</v>
      </c>
    </row>
    <row r="278" spans="1:26" x14ac:dyDescent="0.35">
      <c r="A278">
        <v>276</v>
      </c>
      <c r="B278">
        <v>2009</v>
      </c>
      <c r="C278" t="s">
        <v>208</v>
      </c>
      <c r="D278">
        <v>923431</v>
      </c>
      <c r="E278" t="s">
        <v>165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2160</v>
      </c>
      <c r="T278" s="1">
        <v>2160</v>
      </c>
      <c r="U278" s="1">
        <v>0</v>
      </c>
      <c r="V278" s="1">
        <v>0</v>
      </c>
      <c r="W278" s="1">
        <v>0</v>
      </c>
      <c r="X278" s="1">
        <v>0</v>
      </c>
      <c r="Y278" s="1">
        <v>2160</v>
      </c>
      <c r="Z278" s="1">
        <v>0</v>
      </c>
    </row>
    <row r="279" spans="1:26" x14ac:dyDescent="0.35">
      <c r="A279">
        <v>277</v>
      </c>
      <c r="B279">
        <v>2010</v>
      </c>
      <c r="C279" t="s">
        <v>209</v>
      </c>
      <c r="D279">
        <v>928412</v>
      </c>
      <c r="E279" t="s">
        <v>142</v>
      </c>
      <c r="F279" s="1">
        <v>0</v>
      </c>
      <c r="G279" s="1">
        <v>8906.9599999999991</v>
      </c>
      <c r="H279" s="1">
        <v>8906.9599999999991</v>
      </c>
      <c r="I279" s="1">
        <v>0</v>
      </c>
      <c r="J279" s="1">
        <v>8907.18</v>
      </c>
      <c r="K279" s="1">
        <v>8907.18</v>
      </c>
      <c r="L279" s="1">
        <v>0</v>
      </c>
      <c r="M279" s="1">
        <v>8906.9599999999991</v>
      </c>
      <c r="N279" s="1">
        <v>8906.9599999999991</v>
      </c>
      <c r="O279" s="1">
        <v>0</v>
      </c>
      <c r="P279" s="1">
        <v>7865.51</v>
      </c>
      <c r="Q279" s="1">
        <v>7865.51</v>
      </c>
      <c r="R279" s="1">
        <v>0</v>
      </c>
      <c r="S279" s="1">
        <v>7865.31</v>
      </c>
      <c r="T279" s="1">
        <v>7865.31</v>
      </c>
      <c r="U279" s="1">
        <v>0</v>
      </c>
      <c r="V279" s="1">
        <v>7865.51</v>
      </c>
      <c r="W279" s="1">
        <v>7865.51</v>
      </c>
      <c r="X279" s="1">
        <v>0</v>
      </c>
      <c r="Y279" s="1">
        <v>50317.43</v>
      </c>
      <c r="Z279" s="1">
        <v>8906.9599999999991</v>
      </c>
    </row>
    <row r="280" spans="1:26" x14ac:dyDescent="0.35">
      <c r="A280">
        <v>278</v>
      </c>
      <c r="B280">
        <v>2010</v>
      </c>
      <c r="C280" t="s">
        <v>209</v>
      </c>
      <c r="D280">
        <v>923431</v>
      </c>
      <c r="E280" t="s">
        <v>165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2160</v>
      </c>
      <c r="T280" s="1">
        <v>2160</v>
      </c>
      <c r="U280" s="1">
        <v>0</v>
      </c>
      <c r="V280" s="1">
        <v>0</v>
      </c>
      <c r="W280" s="1">
        <v>0</v>
      </c>
      <c r="X280" s="1">
        <v>0</v>
      </c>
      <c r="Y280" s="1">
        <v>2160</v>
      </c>
      <c r="Z280" s="1">
        <v>0</v>
      </c>
    </row>
    <row r="281" spans="1:26" x14ac:dyDescent="0.35">
      <c r="A281">
        <v>279</v>
      </c>
      <c r="B281">
        <v>2011</v>
      </c>
      <c r="C281" t="s">
        <v>210</v>
      </c>
      <c r="D281">
        <v>928412</v>
      </c>
      <c r="E281" t="s">
        <v>142</v>
      </c>
      <c r="F281" s="1">
        <v>0</v>
      </c>
      <c r="G281" s="1">
        <v>7664.67</v>
      </c>
      <c r="H281" s="1">
        <v>7664.67</v>
      </c>
      <c r="I281" s="1">
        <v>0</v>
      </c>
      <c r="J281" s="1">
        <v>7664.8</v>
      </c>
      <c r="K281" s="1">
        <v>7664.8</v>
      </c>
      <c r="L281" s="1">
        <v>0</v>
      </c>
      <c r="M281" s="1">
        <v>7664.67</v>
      </c>
      <c r="N281" s="1">
        <v>7664.67</v>
      </c>
      <c r="O281" s="1">
        <v>0</v>
      </c>
      <c r="P281" s="1">
        <v>7664.81</v>
      </c>
      <c r="Q281" s="1">
        <v>7664.81</v>
      </c>
      <c r="R281" s="1">
        <v>0</v>
      </c>
      <c r="S281" s="1">
        <v>7664.67</v>
      </c>
      <c r="T281" s="1">
        <v>7664.67</v>
      </c>
      <c r="U281" s="1">
        <v>0</v>
      </c>
      <c r="V281" s="1">
        <v>7664.81</v>
      </c>
      <c r="W281" s="1">
        <v>7664.81</v>
      </c>
      <c r="X281" s="1">
        <v>0</v>
      </c>
      <c r="Y281" s="1">
        <v>45988.43</v>
      </c>
      <c r="Z281" s="1">
        <v>7664.67</v>
      </c>
    </row>
    <row r="282" spans="1:26" x14ac:dyDescent="0.35">
      <c r="A282">
        <v>280</v>
      </c>
      <c r="B282">
        <v>2011</v>
      </c>
      <c r="C282" t="s">
        <v>210</v>
      </c>
      <c r="D282">
        <v>923431</v>
      </c>
      <c r="E282" t="s">
        <v>165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2160</v>
      </c>
      <c r="T282" s="1">
        <v>2160</v>
      </c>
      <c r="U282" s="1">
        <v>0</v>
      </c>
      <c r="V282" s="1">
        <v>0</v>
      </c>
      <c r="W282" s="1">
        <v>0</v>
      </c>
      <c r="X282" s="1">
        <v>0</v>
      </c>
      <c r="Y282" s="1">
        <v>2160</v>
      </c>
      <c r="Z282" s="1">
        <v>0</v>
      </c>
    </row>
    <row r="283" spans="1:26" x14ac:dyDescent="0.35">
      <c r="A283">
        <v>281</v>
      </c>
      <c r="B283">
        <v>2012</v>
      </c>
      <c r="C283" t="s">
        <v>211</v>
      </c>
      <c r="D283">
        <v>928412</v>
      </c>
      <c r="E283" t="s">
        <v>142</v>
      </c>
      <c r="F283" s="1">
        <v>0</v>
      </c>
      <c r="G283" s="1">
        <v>1248.0999999999999</v>
      </c>
      <c r="H283" s="1">
        <v>1248.0999999999999</v>
      </c>
      <c r="I283" s="1">
        <v>0</v>
      </c>
      <c r="J283" s="1">
        <v>1247.99</v>
      </c>
      <c r="K283" s="1">
        <v>1247.99</v>
      </c>
      <c r="L283" s="1">
        <v>0</v>
      </c>
      <c r="M283" s="1">
        <v>1248.0999999999999</v>
      </c>
      <c r="N283" s="1">
        <v>1248.0999999999999</v>
      </c>
      <c r="O283" s="1">
        <v>0</v>
      </c>
      <c r="P283" s="1">
        <v>1247.99</v>
      </c>
      <c r="Q283" s="1">
        <v>1247.99</v>
      </c>
      <c r="R283" s="1">
        <v>0</v>
      </c>
      <c r="S283" s="1">
        <v>1248.0999999999999</v>
      </c>
      <c r="T283" s="1">
        <v>1248.0999999999999</v>
      </c>
      <c r="U283" s="1">
        <v>0</v>
      </c>
      <c r="V283" s="1">
        <v>1247.98</v>
      </c>
      <c r="W283" s="1">
        <v>1247.98</v>
      </c>
      <c r="X283" s="1">
        <v>0</v>
      </c>
      <c r="Y283" s="1">
        <v>7488.26</v>
      </c>
      <c r="Z283" s="1">
        <v>1248.0999999999999</v>
      </c>
    </row>
    <row r="284" spans="1:26" x14ac:dyDescent="0.35">
      <c r="A284">
        <v>282</v>
      </c>
      <c r="B284">
        <v>2013</v>
      </c>
      <c r="C284" t="s">
        <v>212</v>
      </c>
      <c r="D284">
        <v>928411</v>
      </c>
      <c r="E284" t="s">
        <v>161</v>
      </c>
      <c r="F284" s="1">
        <v>0</v>
      </c>
      <c r="G284" s="1">
        <v>830.9</v>
      </c>
      <c r="H284" s="1">
        <v>830.9</v>
      </c>
      <c r="I284" s="1">
        <v>0</v>
      </c>
      <c r="J284" s="1">
        <v>830.92</v>
      </c>
      <c r="K284" s="1">
        <v>830.92</v>
      </c>
      <c r="L284" s="1">
        <v>0</v>
      </c>
      <c r="M284" s="1">
        <v>830.9</v>
      </c>
      <c r="N284" s="1">
        <v>830.9</v>
      </c>
      <c r="O284" s="1">
        <v>0</v>
      </c>
      <c r="P284" s="1">
        <v>830.92</v>
      </c>
      <c r="Q284" s="1">
        <v>830.92</v>
      </c>
      <c r="R284" s="1">
        <v>0</v>
      </c>
      <c r="S284" s="1">
        <v>830.9</v>
      </c>
      <c r="T284" s="1">
        <v>830.9</v>
      </c>
      <c r="U284" s="1">
        <v>0</v>
      </c>
      <c r="V284" s="1">
        <v>830.92</v>
      </c>
      <c r="W284" s="1">
        <v>830.92</v>
      </c>
      <c r="X284" s="1">
        <v>0</v>
      </c>
      <c r="Y284" s="1">
        <v>4985.46</v>
      </c>
      <c r="Z284" s="1">
        <v>830.9</v>
      </c>
    </row>
    <row r="285" spans="1:26" x14ac:dyDescent="0.35">
      <c r="A285">
        <v>283</v>
      </c>
      <c r="B285">
        <v>2013</v>
      </c>
      <c r="C285" t="s">
        <v>212</v>
      </c>
      <c r="D285">
        <v>928412</v>
      </c>
      <c r="E285" t="s">
        <v>142</v>
      </c>
      <c r="F285" s="1">
        <v>0</v>
      </c>
      <c r="G285" s="1">
        <v>1380.49</v>
      </c>
      <c r="H285" s="1">
        <v>1380.49</v>
      </c>
      <c r="I285" s="1">
        <v>0</v>
      </c>
      <c r="J285" s="1">
        <v>1380.45</v>
      </c>
      <c r="K285" s="1">
        <v>1380.45</v>
      </c>
      <c r="L285" s="1">
        <v>0</v>
      </c>
      <c r="M285" s="1">
        <v>1380.49</v>
      </c>
      <c r="N285" s="1">
        <v>1380.49</v>
      </c>
      <c r="O285" s="1">
        <v>0</v>
      </c>
      <c r="P285" s="1">
        <v>1380.45</v>
      </c>
      <c r="Q285" s="1">
        <v>1380.45</v>
      </c>
      <c r="R285" s="1">
        <v>0</v>
      </c>
      <c r="S285" s="1">
        <v>1380.49</v>
      </c>
      <c r="T285" s="1">
        <v>1380.49</v>
      </c>
      <c r="U285" s="1">
        <v>0</v>
      </c>
      <c r="V285" s="1">
        <v>1380.45</v>
      </c>
      <c r="W285" s="1">
        <v>1380.45</v>
      </c>
      <c r="X285" s="1">
        <v>0</v>
      </c>
      <c r="Y285" s="1">
        <v>8282.82</v>
      </c>
      <c r="Z285" s="1">
        <v>1380.49</v>
      </c>
    </row>
    <row r="286" spans="1:26" x14ac:dyDescent="0.35">
      <c r="A286">
        <v>284</v>
      </c>
      <c r="B286">
        <v>2014</v>
      </c>
      <c r="C286" t="s">
        <v>213</v>
      </c>
      <c r="D286">
        <v>928412</v>
      </c>
      <c r="E286" t="s">
        <v>142</v>
      </c>
      <c r="F286" s="1">
        <v>0</v>
      </c>
      <c r="G286" s="1">
        <v>1383.22</v>
      </c>
      <c r="H286" s="1">
        <v>1383.22</v>
      </c>
      <c r="I286" s="1">
        <v>0</v>
      </c>
      <c r="J286" s="1">
        <v>1383.28</v>
      </c>
      <c r="K286" s="1">
        <v>1383.28</v>
      </c>
      <c r="L286" s="1">
        <v>0</v>
      </c>
      <c r="M286" s="1">
        <v>1383.22</v>
      </c>
      <c r="N286" s="1">
        <v>1383.22</v>
      </c>
      <c r="O286" s="1">
        <v>0</v>
      </c>
      <c r="P286" s="1">
        <v>1383.28</v>
      </c>
      <c r="Q286" s="1">
        <v>1383.28</v>
      </c>
      <c r="R286" s="1">
        <v>0</v>
      </c>
      <c r="S286" s="1">
        <v>1383.22</v>
      </c>
      <c r="T286" s="1">
        <v>1383.22</v>
      </c>
      <c r="U286" s="1">
        <v>0</v>
      </c>
      <c r="V286" s="1">
        <v>1383.28</v>
      </c>
      <c r="W286" s="1">
        <v>1383.28</v>
      </c>
      <c r="X286" s="1">
        <v>0</v>
      </c>
      <c r="Y286" s="1">
        <v>8299.5</v>
      </c>
      <c r="Z286" s="1">
        <v>1383.22</v>
      </c>
    </row>
    <row r="287" spans="1:26" x14ac:dyDescent="0.35">
      <c r="A287">
        <v>285</v>
      </c>
      <c r="B287">
        <v>2014</v>
      </c>
      <c r="C287" t="s">
        <v>213</v>
      </c>
      <c r="D287">
        <v>928411</v>
      </c>
      <c r="E287" t="s">
        <v>161</v>
      </c>
      <c r="F287" s="1">
        <v>0</v>
      </c>
      <c r="G287" s="1">
        <v>568.21</v>
      </c>
      <c r="H287" s="1">
        <v>568.21</v>
      </c>
      <c r="I287" s="1">
        <v>0</v>
      </c>
      <c r="J287" s="1">
        <v>568.20000000000005</v>
      </c>
      <c r="K287" s="1">
        <v>568.20000000000005</v>
      </c>
      <c r="L287" s="1">
        <v>0</v>
      </c>
      <c r="M287" s="1">
        <v>568.21</v>
      </c>
      <c r="N287" s="1">
        <v>568.21</v>
      </c>
      <c r="O287" s="1">
        <v>0</v>
      </c>
      <c r="P287" s="1">
        <v>568.20000000000005</v>
      </c>
      <c r="Q287" s="1">
        <v>568.20000000000005</v>
      </c>
      <c r="R287" s="1">
        <v>0</v>
      </c>
      <c r="S287" s="1">
        <v>568.21</v>
      </c>
      <c r="T287" s="1">
        <v>568.21</v>
      </c>
      <c r="U287" s="1">
        <v>0</v>
      </c>
      <c r="V287" s="1">
        <v>568.20000000000005</v>
      </c>
      <c r="W287" s="1">
        <v>568.20000000000005</v>
      </c>
      <c r="X287" s="1">
        <v>0</v>
      </c>
      <c r="Y287" s="1">
        <v>3409.23</v>
      </c>
      <c r="Z287" s="1">
        <v>568.21</v>
      </c>
    </row>
    <row r="288" spans="1:26" x14ac:dyDescent="0.35">
      <c r="A288">
        <v>286</v>
      </c>
      <c r="B288">
        <v>2015</v>
      </c>
      <c r="C288" t="s">
        <v>214</v>
      </c>
      <c r="D288">
        <v>928412</v>
      </c>
      <c r="E288" t="s">
        <v>142</v>
      </c>
      <c r="F288" s="1">
        <v>0</v>
      </c>
      <c r="G288" s="1">
        <v>3257.62</v>
      </c>
      <c r="H288" s="1">
        <v>3257.62</v>
      </c>
      <c r="I288" s="1">
        <v>0</v>
      </c>
      <c r="J288" s="1">
        <v>3257.47</v>
      </c>
      <c r="K288" s="1">
        <v>3257.47</v>
      </c>
      <c r="L288" s="1">
        <v>0</v>
      </c>
      <c r="M288" s="1">
        <v>3257.62</v>
      </c>
      <c r="N288" s="1">
        <v>3257.62</v>
      </c>
      <c r="O288" s="1">
        <v>0</v>
      </c>
      <c r="P288" s="1">
        <v>3257.47</v>
      </c>
      <c r="Q288" s="1">
        <v>3257.47</v>
      </c>
      <c r="R288" s="1">
        <v>0</v>
      </c>
      <c r="S288" s="1">
        <v>3257.62</v>
      </c>
      <c r="T288" s="1">
        <v>3257.62</v>
      </c>
      <c r="U288" s="1">
        <v>0</v>
      </c>
      <c r="V288" s="1">
        <v>3257.47</v>
      </c>
      <c r="W288" s="1">
        <v>3257.47</v>
      </c>
      <c r="X288" s="1">
        <v>0</v>
      </c>
      <c r="Y288" s="1">
        <v>19545.27</v>
      </c>
      <c r="Z288" s="1">
        <v>3257.62</v>
      </c>
    </row>
    <row r="289" spans="1:26" x14ac:dyDescent="0.35">
      <c r="A289">
        <v>287</v>
      </c>
      <c r="B289">
        <v>2017</v>
      </c>
      <c r="C289" t="s">
        <v>215</v>
      </c>
      <c r="D289">
        <v>928412</v>
      </c>
      <c r="E289" t="s">
        <v>142</v>
      </c>
      <c r="F289" s="1">
        <v>0</v>
      </c>
      <c r="G289" s="1">
        <v>7775.33</v>
      </c>
      <c r="H289" s="1">
        <v>7775.33</v>
      </c>
      <c r="I289" s="1">
        <v>0</v>
      </c>
      <c r="J289" s="1">
        <v>7775.33</v>
      </c>
      <c r="K289" s="1">
        <v>7775.33</v>
      </c>
      <c r="L289" s="1">
        <v>0</v>
      </c>
      <c r="M289" s="1">
        <v>7775.33</v>
      </c>
      <c r="N289" s="1">
        <v>7775.33</v>
      </c>
      <c r="O289" s="1">
        <v>0</v>
      </c>
      <c r="P289" s="1">
        <v>7775.33</v>
      </c>
      <c r="Q289" s="1">
        <v>7775.33</v>
      </c>
      <c r="R289" s="1">
        <v>0</v>
      </c>
      <c r="S289" s="1">
        <v>7768.66</v>
      </c>
      <c r="T289" s="1">
        <v>7768.66</v>
      </c>
      <c r="U289" s="1">
        <v>0</v>
      </c>
      <c r="V289" s="1">
        <v>7768.67</v>
      </c>
      <c r="W289" s="1">
        <v>7768.67</v>
      </c>
      <c r="X289" s="1">
        <v>0</v>
      </c>
      <c r="Y289" s="1">
        <v>46638.65</v>
      </c>
      <c r="Z289" s="1">
        <v>7775.33</v>
      </c>
    </row>
    <row r="290" spans="1:26" x14ac:dyDescent="0.35">
      <c r="A290">
        <v>288</v>
      </c>
      <c r="B290">
        <v>2018</v>
      </c>
      <c r="C290" t="s">
        <v>216</v>
      </c>
      <c r="D290">
        <v>928412</v>
      </c>
      <c r="E290" t="s">
        <v>142</v>
      </c>
      <c r="F290" s="1">
        <v>0</v>
      </c>
      <c r="G290" s="1">
        <v>9657</v>
      </c>
      <c r="H290" s="1">
        <v>9657</v>
      </c>
      <c r="I290" s="1">
        <v>0</v>
      </c>
      <c r="J290" s="1">
        <v>9657.2900000000009</v>
      </c>
      <c r="K290" s="1">
        <v>9657.2900000000009</v>
      </c>
      <c r="L290" s="1">
        <v>0</v>
      </c>
      <c r="M290" s="1">
        <v>9657</v>
      </c>
      <c r="N290" s="1">
        <v>9657</v>
      </c>
      <c r="O290" s="1">
        <v>0</v>
      </c>
      <c r="P290" s="1">
        <v>1493.27</v>
      </c>
      <c r="Q290" s="1">
        <v>1493.27</v>
      </c>
      <c r="R290" s="1">
        <v>0</v>
      </c>
      <c r="S290" s="1">
        <v>1493.21</v>
      </c>
      <c r="T290" s="1">
        <v>1493.21</v>
      </c>
      <c r="U290" s="1">
        <v>0</v>
      </c>
      <c r="V290" s="1">
        <v>1493.27</v>
      </c>
      <c r="W290" s="1">
        <v>1493.27</v>
      </c>
      <c r="X290" s="1">
        <v>0</v>
      </c>
      <c r="Y290" s="1">
        <v>33451.040000000001</v>
      </c>
      <c r="Z290" s="1">
        <v>9657</v>
      </c>
    </row>
    <row r="291" spans="1:26" x14ac:dyDescent="0.35">
      <c r="A291">
        <v>289</v>
      </c>
      <c r="B291">
        <v>2018</v>
      </c>
      <c r="C291" t="s">
        <v>216</v>
      </c>
      <c r="D291">
        <v>928411</v>
      </c>
      <c r="E291" t="s">
        <v>161</v>
      </c>
      <c r="F291" s="1">
        <v>0</v>
      </c>
      <c r="G291" s="1">
        <v>3724.73</v>
      </c>
      <c r="H291" s="1">
        <v>3724.73</v>
      </c>
      <c r="I291" s="1">
        <v>0</v>
      </c>
      <c r="J291" s="1">
        <v>3724.75</v>
      </c>
      <c r="K291" s="1">
        <v>3724.75</v>
      </c>
      <c r="L291" s="1">
        <v>0</v>
      </c>
      <c r="M291" s="1">
        <v>3724.73</v>
      </c>
      <c r="N291" s="1">
        <v>3724.73</v>
      </c>
      <c r="O291" s="1">
        <v>0</v>
      </c>
      <c r="P291" s="1">
        <v>3724.76</v>
      </c>
      <c r="Q291" s="1">
        <v>3724.76</v>
      </c>
      <c r="R291" s="1">
        <v>0</v>
      </c>
      <c r="S291" s="1">
        <v>3724.72</v>
      </c>
      <c r="T291" s="1">
        <v>3724.72</v>
      </c>
      <c r="U291" s="1">
        <v>0</v>
      </c>
      <c r="V291" s="1">
        <v>3724.76</v>
      </c>
      <c r="W291" s="1">
        <v>3724.76</v>
      </c>
      <c r="X291" s="1">
        <v>0</v>
      </c>
      <c r="Y291" s="1">
        <v>22348.45</v>
      </c>
      <c r="Z291" s="1">
        <v>3724.73</v>
      </c>
    </row>
    <row r="292" spans="1:26" x14ac:dyDescent="0.35">
      <c r="A292">
        <v>290</v>
      </c>
      <c r="B292">
        <v>2019</v>
      </c>
      <c r="C292" t="s">
        <v>217</v>
      </c>
      <c r="D292">
        <v>928411</v>
      </c>
      <c r="E292" t="s">
        <v>161</v>
      </c>
      <c r="F292" s="1">
        <v>0</v>
      </c>
      <c r="G292" s="1">
        <v>15541.07</v>
      </c>
      <c r="H292" s="1">
        <v>15541.07</v>
      </c>
      <c r="I292" s="1">
        <v>0</v>
      </c>
      <c r="J292" s="1">
        <v>15540.82</v>
      </c>
      <c r="K292" s="1">
        <v>15540.82</v>
      </c>
      <c r="L292" s="1">
        <v>0</v>
      </c>
      <c r="M292" s="1">
        <v>15541.09</v>
      </c>
      <c r="N292" s="1">
        <v>15541.09</v>
      </c>
      <c r="O292" s="1">
        <v>0</v>
      </c>
      <c r="P292" s="1">
        <v>15540.82</v>
      </c>
      <c r="Q292" s="1">
        <v>15540.82</v>
      </c>
      <c r="R292" s="1">
        <v>0</v>
      </c>
      <c r="S292" s="1">
        <v>15541.09</v>
      </c>
      <c r="T292" s="1">
        <v>15541.09</v>
      </c>
      <c r="U292" s="1">
        <v>0</v>
      </c>
      <c r="V292" s="1">
        <v>15540.81</v>
      </c>
      <c r="W292" s="1">
        <v>15540.81</v>
      </c>
      <c r="X292" s="1">
        <v>0</v>
      </c>
      <c r="Y292" s="1">
        <v>93245.7</v>
      </c>
      <c r="Z292" s="1">
        <v>15541.07</v>
      </c>
    </row>
    <row r="293" spans="1:26" x14ac:dyDescent="0.35">
      <c r="A293">
        <v>291</v>
      </c>
      <c r="B293">
        <v>2022</v>
      </c>
      <c r="C293" t="s">
        <v>218</v>
      </c>
      <c r="D293">
        <v>928411</v>
      </c>
      <c r="E293" t="s">
        <v>161</v>
      </c>
      <c r="F293" s="1">
        <v>0</v>
      </c>
      <c r="G293" s="1">
        <v>101.28</v>
      </c>
      <c r="H293" s="1">
        <v>101.28</v>
      </c>
      <c r="I293" s="1">
        <v>0</v>
      </c>
      <c r="J293" s="1">
        <v>101.28</v>
      </c>
      <c r="K293" s="1">
        <v>101.28</v>
      </c>
      <c r="L293" s="1">
        <v>0</v>
      </c>
      <c r="M293" s="1">
        <v>101.28</v>
      </c>
      <c r="N293" s="1">
        <v>101.28</v>
      </c>
      <c r="O293" s="1">
        <v>0</v>
      </c>
      <c r="P293" s="1">
        <v>101.28</v>
      </c>
      <c r="Q293" s="1">
        <v>101.28</v>
      </c>
      <c r="R293" s="1">
        <v>0</v>
      </c>
      <c r="S293" s="1">
        <v>101.28</v>
      </c>
      <c r="T293" s="1">
        <v>101.28</v>
      </c>
      <c r="U293" s="1">
        <v>0</v>
      </c>
      <c r="V293" s="1">
        <v>101.28</v>
      </c>
      <c r="W293" s="1">
        <v>101.28</v>
      </c>
      <c r="X293" s="1">
        <v>0</v>
      </c>
      <c r="Y293" s="1">
        <v>607.67999999999995</v>
      </c>
      <c r="Z293" s="1">
        <v>101.28</v>
      </c>
    </row>
    <row r="294" spans="1:26" x14ac:dyDescent="0.35">
      <c r="A294">
        <v>292</v>
      </c>
      <c r="B294">
        <v>2024</v>
      </c>
      <c r="C294" t="s">
        <v>219</v>
      </c>
      <c r="D294">
        <v>928412</v>
      </c>
      <c r="E294" t="s">
        <v>142</v>
      </c>
      <c r="F294" s="1">
        <v>0</v>
      </c>
      <c r="G294" s="1">
        <v>5597.42</v>
      </c>
      <c r="H294" s="1">
        <v>5597.42</v>
      </c>
      <c r="I294" s="1">
        <v>0</v>
      </c>
      <c r="J294" s="1">
        <v>5597.28</v>
      </c>
      <c r="K294" s="1">
        <v>5597.28</v>
      </c>
      <c r="L294" s="1">
        <v>0</v>
      </c>
      <c r="M294" s="1">
        <v>5597.44</v>
      </c>
      <c r="N294" s="1">
        <v>5597.44</v>
      </c>
      <c r="O294" s="1">
        <v>0</v>
      </c>
      <c r="P294" s="1">
        <v>5597.28</v>
      </c>
      <c r="Q294" s="1">
        <v>5597.28</v>
      </c>
      <c r="R294" s="1">
        <v>0</v>
      </c>
      <c r="S294" s="1">
        <v>5597.46</v>
      </c>
      <c r="T294" s="1">
        <v>5597.46</v>
      </c>
      <c r="U294" s="1">
        <v>0</v>
      </c>
      <c r="V294" s="1">
        <v>5597.28</v>
      </c>
      <c r="W294" s="1">
        <v>5597.28</v>
      </c>
      <c r="X294" s="1">
        <v>0</v>
      </c>
      <c r="Y294" s="1">
        <v>33584.160000000003</v>
      </c>
      <c r="Z294" s="1">
        <v>5597.42</v>
      </c>
    </row>
    <row r="295" spans="1:26" x14ac:dyDescent="0.35">
      <c r="A295">
        <v>293</v>
      </c>
      <c r="B295">
        <v>2201</v>
      </c>
      <c r="C295" t="s">
        <v>220</v>
      </c>
      <c r="D295">
        <v>928411</v>
      </c>
      <c r="E295" t="s">
        <v>161</v>
      </c>
      <c r="F295" s="1">
        <v>0</v>
      </c>
      <c r="G295" s="1">
        <v>15.85</v>
      </c>
      <c r="H295" s="1">
        <v>15.85</v>
      </c>
      <c r="I295" s="1">
        <v>0</v>
      </c>
      <c r="J295" s="1">
        <v>15.85</v>
      </c>
      <c r="K295" s="1">
        <v>15.85</v>
      </c>
      <c r="L295" s="1">
        <v>0</v>
      </c>
      <c r="M295" s="1">
        <v>15.85</v>
      </c>
      <c r="N295" s="1">
        <v>15.85</v>
      </c>
      <c r="O295" s="1">
        <v>0</v>
      </c>
      <c r="P295" s="1">
        <v>15.85</v>
      </c>
      <c r="Q295" s="1">
        <v>15.85</v>
      </c>
      <c r="R295" s="1">
        <v>0</v>
      </c>
      <c r="S295" s="1">
        <v>15.85</v>
      </c>
      <c r="T295" s="1">
        <v>15.85</v>
      </c>
      <c r="U295" s="1">
        <v>0</v>
      </c>
      <c r="V295" s="1">
        <v>15.85</v>
      </c>
      <c r="W295" s="1">
        <v>15.85</v>
      </c>
      <c r="X295" s="1">
        <v>0</v>
      </c>
      <c r="Y295" s="1">
        <v>95.1</v>
      </c>
      <c r="Z295" s="1">
        <v>15.85</v>
      </c>
    </row>
    <row r="296" spans="1:26" x14ac:dyDescent="0.35">
      <c r="A296">
        <v>294</v>
      </c>
      <c r="B296">
        <v>2201</v>
      </c>
      <c r="C296" t="s">
        <v>220</v>
      </c>
      <c r="D296">
        <v>928412</v>
      </c>
      <c r="E296" t="s">
        <v>142</v>
      </c>
      <c r="F296" s="1">
        <v>0</v>
      </c>
      <c r="G296" s="1">
        <v>3742.42</v>
      </c>
      <c r="H296" s="1">
        <v>3742.42</v>
      </c>
      <c r="I296" s="1">
        <v>0</v>
      </c>
      <c r="J296" s="1">
        <v>3742.4</v>
      </c>
      <c r="K296" s="1">
        <v>3742.4</v>
      </c>
      <c r="L296" s="1">
        <v>0</v>
      </c>
      <c r="M296" s="1">
        <v>3742.42</v>
      </c>
      <c r="N296" s="1">
        <v>3742.42</v>
      </c>
      <c r="O296" s="1">
        <v>0</v>
      </c>
      <c r="P296" s="1">
        <v>3742.4</v>
      </c>
      <c r="Q296" s="1">
        <v>3742.4</v>
      </c>
      <c r="R296" s="1">
        <v>0</v>
      </c>
      <c r="S296" s="1">
        <v>3710.78</v>
      </c>
      <c r="T296" s="1">
        <v>3710.78</v>
      </c>
      <c r="U296" s="1">
        <v>0</v>
      </c>
      <c r="V296" s="1">
        <v>3710.76</v>
      </c>
      <c r="W296" s="1">
        <v>3710.76</v>
      </c>
      <c r="X296" s="1">
        <v>0</v>
      </c>
      <c r="Y296" s="1">
        <v>22391.18</v>
      </c>
      <c r="Z296" s="1">
        <v>3742.42</v>
      </c>
    </row>
    <row r="297" spans="1:26" x14ac:dyDescent="0.35">
      <c r="A297">
        <v>295</v>
      </c>
      <c r="B297">
        <v>2201</v>
      </c>
      <c r="C297" t="s">
        <v>220</v>
      </c>
      <c r="D297">
        <v>928415</v>
      </c>
      <c r="E297" t="s">
        <v>166</v>
      </c>
      <c r="F297" s="1">
        <v>0</v>
      </c>
      <c r="G297" s="1">
        <v>3.76</v>
      </c>
      <c r="H297" s="1">
        <v>3.76</v>
      </c>
      <c r="I297" s="1">
        <v>0</v>
      </c>
      <c r="J297" s="1">
        <v>3.75</v>
      </c>
      <c r="K297" s="1">
        <v>3.75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7.51</v>
      </c>
      <c r="Z297" s="1">
        <v>3.76</v>
      </c>
    </row>
    <row r="298" spans="1:26" x14ac:dyDescent="0.35">
      <c r="A298">
        <v>296</v>
      </c>
      <c r="B298">
        <v>2202</v>
      </c>
      <c r="C298" t="s">
        <v>221</v>
      </c>
      <c r="D298">
        <v>928411</v>
      </c>
      <c r="E298" t="s">
        <v>161</v>
      </c>
      <c r="F298" s="1">
        <v>0</v>
      </c>
      <c r="G298" s="1">
        <v>5.73</v>
      </c>
      <c r="H298" s="1">
        <v>5.73</v>
      </c>
      <c r="I298" s="1">
        <v>0</v>
      </c>
      <c r="J298" s="1">
        <v>5.73</v>
      </c>
      <c r="K298" s="1">
        <v>5.73</v>
      </c>
      <c r="L298" s="1">
        <v>0</v>
      </c>
      <c r="M298" s="1">
        <v>5.73</v>
      </c>
      <c r="N298" s="1">
        <v>5.73</v>
      </c>
      <c r="O298" s="1">
        <v>0</v>
      </c>
      <c r="P298" s="1">
        <v>5.73</v>
      </c>
      <c r="Q298" s="1">
        <v>5.73</v>
      </c>
      <c r="R298" s="1">
        <v>0</v>
      </c>
      <c r="S298" s="1">
        <v>5.73</v>
      </c>
      <c r="T298" s="1">
        <v>5.73</v>
      </c>
      <c r="U298" s="1">
        <v>0</v>
      </c>
      <c r="V298" s="1">
        <v>5.73</v>
      </c>
      <c r="W298" s="1">
        <v>5.73</v>
      </c>
      <c r="X298" s="1">
        <v>0</v>
      </c>
      <c r="Y298" s="1">
        <v>34.380000000000003</v>
      </c>
      <c r="Z298" s="1">
        <v>5.73</v>
      </c>
    </row>
    <row r="299" spans="1:26" x14ac:dyDescent="0.35">
      <c r="A299">
        <v>297</v>
      </c>
      <c r="B299">
        <v>2202</v>
      </c>
      <c r="C299" t="s">
        <v>221</v>
      </c>
      <c r="D299">
        <v>928412</v>
      </c>
      <c r="E299" t="s">
        <v>142</v>
      </c>
      <c r="F299" s="1">
        <v>0</v>
      </c>
      <c r="G299" s="1">
        <v>954.83</v>
      </c>
      <c r="H299" s="1">
        <v>954.83</v>
      </c>
      <c r="I299" s="1">
        <v>0</v>
      </c>
      <c r="J299" s="1">
        <v>954.84</v>
      </c>
      <c r="K299" s="1">
        <v>954.84</v>
      </c>
      <c r="L299" s="1">
        <v>0</v>
      </c>
      <c r="M299" s="1">
        <v>954.83</v>
      </c>
      <c r="N299" s="1">
        <v>954.83</v>
      </c>
      <c r="O299" s="1">
        <v>0</v>
      </c>
      <c r="P299" s="1">
        <v>954.84</v>
      </c>
      <c r="Q299" s="1">
        <v>954.84</v>
      </c>
      <c r="R299" s="1">
        <v>0</v>
      </c>
      <c r="S299" s="1">
        <v>954.83</v>
      </c>
      <c r="T299" s="1">
        <v>954.83</v>
      </c>
      <c r="U299" s="1">
        <v>0</v>
      </c>
      <c r="V299" s="1">
        <v>638.87</v>
      </c>
      <c r="W299" s="1">
        <v>638.87</v>
      </c>
      <c r="X299" s="1">
        <v>0</v>
      </c>
      <c r="Y299" s="1">
        <v>5413.04</v>
      </c>
      <c r="Z299" s="1">
        <v>954.83</v>
      </c>
    </row>
    <row r="300" spans="1:26" x14ac:dyDescent="0.35">
      <c r="A300">
        <v>298</v>
      </c>
      <c r="B300">
        <v>2202</v>
      </c>
      <c r="C300" t="s">
        <v>221</v>
      </c>
      <c r="D300">
        <v>928415</v>
      </c>
      <c r="E300" t="s">
        <v>166</v>
      </c>
      <c r="F300" s="1">
        <v>0</v>
      </c>
      <c r="G300" s="1">
        <v>117.57</v>
      </c>
      <c r="H300" s="1">
        <v>117.57</v>
      </c>
      <c r="I300" s="1">
        <v>0</v>
      </c>
      <c r="J300" s="1">
        <v>117.57</v>
      </c>
      <c r="K300" s="1">
        <v>117.57</v>
      </c>
      <c r="L300" s="1">
        <v>0</v>
      </c>
      <c r="M300" s="1">
        <v>117.57</v>
      </c>
      <c r="N300" s="1">
        <v>117.57</v>
      </c>
      <c r="O300" s="1">
        <v>0</v>
      </c>
      <c r="P300" s="1">
        <v>117.57</v>
      </c>
      <c r="Q300" s="1">
        <v>117.57</v>
      </c>
      <c r="R300" s="1">
        <v>0</v>
      </c>
      <c r="S300" s="1">
        <v>117.57</v>
      </c>
      <c r="T300" s="1">
        <v>117.57</v>
      </c>
      <c r="U300" s="1">
        <v>0</v>
      </c>
      <c r="V300" s="1">
        <v>117.57</v>
      </c>
      <c r="W300" s="1">
        <v>117.57</v>
      </c>
      <c r="X300" s="1">
        <v>0</v>
      </c>
      <c r="Y300" s="1">
        <v>705.42</v>
      </c>
      <c r="Z300" s="1">
        <v>117.57</v>
      </c>
    </row>
    <row r="301" spans="1:26" x14ac:dyDescent="0.35">
      <c r="A301">
        <v>299</v>
      </c>
      <c r="B301">
        <v>2203</v>
      </c>
      <c r="C301" t="s">
        <v>222</v>
      </c>
      <c r="D301">
        <v>928412</v>
      </c>
      <c r="E301" t="s">
        <v>142</v>
      </c>
      <c r="F301" s="1">
        <v>0</v>
      </c>
      <c r="G301" s="1">
        <v>2568.21</v>
      </c>
      <c r="H301" s="1">
        <v>2568.21</v>
      </c>
      <c r="I301" s="1">
        <v>0</v>
      </c>
      <c r="J301" s="1">
        <v>2568.2199999999998</v>
      </c>
      <c r="K301" s="1">
        <v>2568.2199999999998</v>
      </c>
      <c r="L301" s="1">
        <v>0</v>
      </c>
      <c r="M301" s="1">
        <v>2568.21</v>
      </c>
      <c r="N301" s="1">
        <v>2568.21</v>
      </c>
      <c r="O301" s="1">
        <v>0</v>
      </c>
      <c r="P301" s="1">
        <v>2568.2199999999998</v>
      </c>
      <c r="Q301" s="1">
        <v>2568.2199999999998</v>
      </c>
      <c r="R301" s="1">
        <v>0</v>
      </c>
      <c r="S301" s="1">
        <v>2568.21</v>
      </c>
      <c r="T301" s="1">
        <v>2568.21</v>
      </c>
      <c r="U301" s="1">
        <v>0</v>
      </c>
      <c r="V301" s="1">
        <v>2568.2199999999998</v>
      </c>
      <c r="W301" s="1">
        <v>2568.2199999999998</v>
      </c>
      <c r="X301" s="1">
        <v>0</v>
      </c>
      <c r="Y301" s="1">
        <v>15409.29</v>
      </c>
      <c r="Z301" s="1">
        <v>2568.21</v>
      </c>
    </row>
    <row r="302" spans="1:26" x14ac:dyDescent="0.35">
      <c r="A302">
        <v>300</v>
      </c>
      <c r="B302">
        <v>2204</v>
      </c>
      <c r="C302" t="s">
        <v>223</v>
      </c>
      <c r="D302">
        <v>928412</v>
      </c>
      <c r="E302" t="s">
        <v>142</v>
      </c>
      <c r="F302" s="1">
        <v>0</v>
      </c>
      <c r="G302" s="1">
        <v>2568.21</v>
      </c>
      <c r="H302" s="1">
        <v>2568.21</v>
      </c>
      <c r="I302" s="1">
        <v>0</v>
      </c>
      <c r="J302" s="1">
        <v>2568.2199999999998</v>
      </c>
      <c r="K302" s="1">
        <v>2568.2199999999998</v>
      </c>
      <c r="L302" s="1">
        <v>0</v>
      </c>
      <c r="M302" s="1">
        <v>2568.21</v>
      </c>
      <c r="N302" s="1">
        <v>2568.21</v>
      </c>
      <c r="O302" s="1">
        <v>0</v>
      </c>
      <c r="P302" s="1">
        <v>2568.2199999999998</v>
      </c>
      <c r="Q302" s="1">
        <v>2568.2199999999998</v>
      </c>
      <c r="R302" s="1">
        <v>0</v>
      </c>
      <c r="S302" s="1">
        <v>2568.21</v>
      </c>
      <c r="T302" s="1">
        <v>2568.21</v>
      </c>
      <c r="U302" s="1">
        <v>0</v>
      </c>
      <c r="V302" s="1">
        <v>2568.2199999999998</v>
      </c>
      <c r="W302" s="1">
        <v>2568.2199999999998</v>
      </c>
      <c r="X302" s="1">
        <v>0</v>
      </c>
      <c r="Y302" s="1">
        <v>15409.29</v>
      </c>
      <c r="Z302" s="1">
        <v>2568.21</v>
      </c>
    </row>
    <row r="303" spans="1:26" x14ac:dyDescent="0.35">
      <c r="A303">
        <v>301</v>
      </c>
      <c r="B303">
        <v>2205</v>
      </c>
      <c r="C303" t="s">
        <v>224</v>
      </c>
      <c r="D303">
        <v>928415</v>
      </c>
      <c r="E303" t="s">
        <v>166</v>
      </c>
      <c r="F303" s="1">
        <v>0</v>
      </c>
      <c r="G303" s="1">
        <v>74.88</v>
      </c>
      <c r="H303" s="1">
        <v>74.88</v>
      </c>
      <c r="I303" s="1">
        <v>0</v>
      </c>
      <c r="J303" s="1">
        <v>74.88</v>
      </c>
      <c r="K303" s="1">
        <v>74.88</v>
      </c>
      <c r="L303" s="1">
        <v>0</v>
      </c>
      <c r="M303" s="1">
        <v>74.88</v>
      </c>
      <c r="N303" s="1">
        <v>74.88</v>
      </c>
      <c r="O303" s="1">
        <v>0</v>
      </c>
      <c r="P303" s="1">
        <v>74.88</v>
      </c>
      <c r="Q303" s="1">
        <v>74.88</v>
      </c>
      <c r="R303" s="1">
        <v>0</v>
      </c>
      <c r="S303" s="1">
        <v>74.88</v>
      </c>
      <c r="T303" s="1">
        <v>74.88</v>
      </c>
      <c r="U303" s="1">
        <v>0</v>
      </c>
      <c r="V303" s="1">
        <v>74.88</v>
      </c>
      <c r="W303" s="1">
        <v>74.88</v>
      </c>
      <c r="X303" s="1">
        <v>0</v>
      </c>
      <c r="Y303" s="1">
        <v>449.28</v>
      </c>
      <c r="Z303" s="1">
        <v>74.88</v>
      </c>
    </row>
    <row r="304" spans="1:26" x14ac:dyDescent="0.35">
      <c r="A304">
        <v>302</v>
      </c>
      <c r="B304">
        <v>2206</v>
      </c>
      <c r="C304" t="s">
        <v>225</v>
      </c>
      <c r="D304">
        <v>928412</v>
      </c>
      <c r="E304" t="s">
        <v>142</v>
      </c>
      <c r="F304" s="1">
        <v>0</v>
      </c>
      <c r="G304" s="1">
        <v>4246.12</v>
      </c>
      <c r="H304" s="1">
        <v>4246.12</v>
      </c>
      <c r="I304" s="1">
        <v>0</v>
      </c>
      <c r="J304" s="1">
        <v>4246.12</v>
      </c>
      <c r="K304" s="1">
        <v>4246.12</v>
      </c>
      <c r="L304" s="1">
        <v>0</v>
      </c>
      <c r="M304" s="1">
        <v>4246.12</v>
      </c>
      <c r="N304" s="1">
        <v>4246.12</v>
      </c>
      <c r="O304" s="1">
        <v>0</v>
      </c>
      <c r="P304" s="1">
        <v>4246.12</v>
      </c>
      <c r="Q304" s="1">
        <v>4246.12</v>
      </c>
      <c r="R304" s="1">
        <v>0</v>
      </c>
      <c r="S304" s="1">
        <v>4246.12</v>
      </c>
      <c r="T304" s="1">
        <v>4246.12</v>
      </c>
      <c r="U304" s="1">
        <v>0</v>
      </c>
      <c r="V304" s="1">
        <v>4246.12</v>
      </c>
      <c r="W304" s="1">
        <v>4246.12</v>
      </c>
      <c r="X304" s="1">
        <v>0</v>
      </c>
      <c r="Y304" s="1">
        <v>25476.720000000001</v>
      </c>
      <c r="Z304" s="1">
        <v>4246.12</v>
      </c>
    </row>
    <row r="305" spans="1:26" x14ac:dyDescent="0.35">
      <c r="A305">
        <v>303</v>
      </c>
      <c r="B305">
        <v>2207</v>
      </c>
      <c r="C305" t="s">
        <v>226</v>
      </c>
      <c r="D305">
        <v>928412</v>
      </c>
      <c r="E305" t="s">
        <v>142</v>
      </c>
      <c r="F305" s="1">
        <v>0</v>
      </c>
      <c r="G305" s="1">
        <v>4246.12</v>
      </c>
      <c r="H305" s="1">
        <v>4246.12</v>
      </c>
      <c r="I305" s="1">
        <v>0</v>
      </c>
      <c r="J305" s="1">
        <v>4246.12</v>
      </c>
      <c r="K305" s="1">
        <v>4246.12</v>
      </c>
      <c r="L305" s="1">
        <v>0</v>
      </c>
      <c r="M305" s="1">
        <v>4246.12</v>
      </c>
      <c r="N305" s="1">
        <v>4246.12</v>
      </c>
      <c r="O305" s="1">
        <v>0</v>
      </c>
      <c r="P305" s="1">
        <v>4246.12</v>
      </c>
      <c r="Q305" s="1">
        <v>4246.12</v>
      </c>
      <c r="R305" s="1">
        <v>0</v>
      </c>
      <c r="S305" s="1">
        <v>4246.12</v>
      </c>
      <c r="T305" s="1">
        <v>4246.12</v>
      </c>
      <c r="U305" s="1">
        <v>0</v>
      </c>
      <c r="V305" s="1">
        <v>4246.12</v>
      </c>
      <c r="W305" s="1">
        <v>4246.12</v>
      </c>
      <c r="X305" s="1">
        <v>0</v>
      </c>
      <c r="Y305" s="1">
        <v>25476.720000000001</v>
      </c>
      <c r="Z305" s="1">
        <v>4246.12</v>
      </c>
    </row>
    <row r="306" spans="1:26" x14ac:dyDescent="0.35">
      <c r="A306">
        <v>304</v>
      </c>
      <c r="B306">
        <v>2208</v>
      </c>
      <c r="C306" t="s">
        <v>227</v>
      </c>
      <c r="D306">
        <v>928415</v>
      </c>
      <c r="E306" t="s">
        <v>166</v>
      </c>
      <c r="F306" s="1">
        <v>0</v>
      </c>
      <c r="G306" s="1">
        <v>3112.7</v>
      </c>
      <c r="H306" s="1">
        <v>3112.7</v>
      </c>
      <c r="I306" s="1">
        <v>0</v>
      </c>
      <c r="J306" s="1">
        <v>3112.7</v>
      </c>
      <c r="K306" s="1">
        <v>3112.7</v>
      </c>
      <c r="L306" s="1">
        <v>0</v>
      </c>
      <c r="M306" s="1">
        <v>3112.7</v>
      </c>
      <c r="N306" s="1">
        <v>3112.7</v>
      </c>
      <c r="O306" s="1">
        <v>0</v>
      </c>
      <c r="P306" s="1">
        <v>3112.7</v>
      </c>
      <c r="Q306" s="1">
        <v>3112.7</v>
      </c>
      <c r="R306" s="1">
        <v>0</v>
      </c>
      <c r="S306" s="1">
        <v>3112.7</v>
      </c>
      <c r="T306" s="1">
        <v>3112.7</v>
      </c>
      <c r="U306" s="1">
        <v>0</v>
      </c>
      <c r="V306" s="1">
        <v>3112.7</v>
      </c>
      <c r="W306" s="1">
        <v>3112.7</v>
      </c>
      <c r="X306" s="1">
        <v>0</v>
      </c>
      <c r="Y306" s="1">
        <v>18676.2</v>
      </c>
      <c r="Z306" s="1">
        <v>3112.7</v>
      </c>
    </row>
    <row r="307" spans="1:26" x14ac:dyDescent="0.35">
      <c r="A307">
        <v>305</v>
      </c>
      <c r="B307">
        <v>2209</v>
      </c>
      <c r="C307" t="s">
        <v>228</v>
      </c>
      <c r="D307">
        <v>928412</v>
      </c>
      <c r="E307" t="s">
        <v>142</v>
      </c>
      <c r="F307" s="1">
        <v>0</v>
      </c>
      <c r="G307" s="1">
        <v>238.06</v>
      </c>
      <c r="H307" s="1">
        <v>238.06</v>
      </c>
      <c r="I307" s="1">
        <v>0</v>
      </c>
      <c r="J307" s="1">
        <v>238.06</v>
      </c>
      <c r="K307" s="1">
        <v>238.06</v>
      </c>
      <c r="L307" s="1">
        <v>0</v>
      </c>
      <c r="M307" s="1">
        <v>238.06</v>
      </c>
      <c r="N307" s="1">
        <v>238.06</v>
      </c>
      <c r="O307" s="1">
        <v>0</v>
      </c>
      <c r="P307" s="1">
        <v>238.06</v>
      </c>
      <c r="Q307" s="1">
        <v>238.06</v>
      </c>
      <c r="R307" s="1">
        <v>0</v>
      </c>
      <c r="S307" s="1">
        <v>238.06</v>
      </c>
      <c r="T307" s="1">
        <v>238.06</v>
      </c>
      <c r="U307" s="1">
        <v>0</v>
      </c>
      <c r="V307" s="1">
        <v>238.06</v>
      </c>
      <c r="W307" s="1">
        <v>238.06</v>
      </c>
      <c r="X307" s="1">
        <v>0</v>
      </c>
      <c r="Y307" s="1">
        <v>1428.36</v>
      </c>
      <c r="Z307" s="1">
        <v>238.06</v>
      </c>
    </row>
    <row r="308" spans="1:26" x14ac:dyDescent="0.35">
      <c r="A308">
        <v>306</v>
      </c>
      <c r="B308">
        <v>2210</v>
      </c>
      <c r="C308" t="s">
        <v>229</v>
      </c>
      <c r="D308">
        <v>928413</v>
      </c>
      <c r="E308" t="s">
        <v>195</v>
      </c>
      <c r="F308" s="1">
        <v>0</v>
      </c>
      <c r="G308" s="1">
        <v>755.14</v>
      </c>
      <c r="H308" s="1">
        <v>755.14</v>
      </c>
      <c r="I308" s="1">
        <v>0</v>
      </c>
      <c r="J308" s="1">
        <v>755.14</v>
      </c>
      <c r="K308" s="1">
        <v>755.14</v>
      </c>
      <c r="L308" s="1">
        <v>0</v>
      </c>
      <c r="M308" s="1">
        <v>755.14</v>
      </c>
      <c r="N308" s="1">
        <v>755.14</v>
      </c>
      <c r="O308" s="1">
        <v>0</v>
      </c>
      <c r="P308" s="1">
        <v>755.14</v>
      </c>
      <c r="Q308" s="1">
        <v>755.14</v>
      </c>
      <c r="R308" s="1">
        <v>0</v>
      </c>
      <c r="S308" s="1">
        <v>755.14</v>
      </c>
      <c r="T308" s="1">
        <v>755.14</v>
      </c>
      <c r="U308" s="1">
        <v>0</v>
      </c>
      <c r="V308" s="1">
        <v>755.14</v>
      </c>
      <c r="W308" s="1">
        <v>755.14</v>
      </c>
      <c r="X308" s="1">
        <v>0</v>
      </c>
      <c r="Y308" s="1">
        <v>4530.84</v>
      </c>
      <c r="Z308" s="1">
        <v>755.14</v>
      </c>
    </row>
    <row r="309" spans="1:26" x14ac:dyDescent="0.35">
      <c r="A309">
        <v>307</v>
      </c>
      <c r="B309">
        <v>4001</v>
      </c>
      <c r="C309" t="s">
        <v>230</v>
      </c>
      <c r="D309">
        <v>942111</v>
      </c>
      <c r="E309" t="s">
        <v>171</v>
      </c>
      <c r="F309" s="1">
        <v>0</v>
      </c>
      <c r="G309" s="1">
        <v>21257.84</v>
      </c>
      <c r="H309" s="1">
        <v>21257.84</v>
      </c>
      <c r="I309" s="1">
        <v>0</v>
      </c>
      <c r="J309" s="1">
        <v>21257.84</v>
      </c>
      <c r="K309" s="1">
        <v>21257.84</v>
      </c>
      <c r="L309" s="1">
        <v>0</v>
      </c>
      <c r="M309" s="1">
        <v>-368.74</v>
      </c>
      <c r="N309" s="1">
        <v>-368.74</v>
      </c>
      <c r="O309" s="1">
        <v>0</v>
      </c>
      <c r="P309" s="1">
        <v>21257.84</v>
      </c>
      <c r="Q309" s="1">
        <v>21257.84</v>
      </c>
      <c r="R309" s="1">
        <v>0</v>
      </c>
      <c r="S309" s="1">
        <v>21257.84</v>
      </c>
      <c r="T309" s="1">
        <v>21257.84</v>
      </c>
      <c r="U309" s="1">
        <v>0</v>
      </c>
      <c r="V309" s="1">
        <v>21257.84</v>
      </c>
      <c r="W309" s="1">
        <v>21257.84</v>
      </c>
      <c r="X309" s="1">
        <v>0</v>
      </c>
      <c r="Y309" s="1">
        <v>105920.46</v>
      </c>
      <c r="Z309" s="1">
        <v>21257.84</v>
      </c>
    </row>
    <row r="310" spans="1:26" x14ac:dyDescent="0.35">
      <c r="A310">
        <v>308</v>
      </c>
      <c r="B310">
        <v>4001</v>
      </c>
      <c r="C310" t="s">
        <v>230</v>
      </c>
      <c r="D310">
        <v>942141</v>
      </c>
      <c r="E310" t="s">
        <v>172</v>
      </c>
      <c r="F310" s="1">
        <v>0</v>
      </c>
      <c r="G310" s="1">
        <v>3746.22</v>
      </c>
      <c r="H310" s="1">
        <v>3746.22</v>
      </c>
      <c r="I310" s="1">
        <v>0</v>
      </c>
      <c r="J310" s="1">
        <v>3746.22</v>
      </c>
      <c r="K310" s="1">
        <v>3746.22</v>
      </c>
      <c r="L310" s="1">
        <v>0</v>
      </c>
      <c r="M310" s="1">
        <v>3867.07</v>
      </c>
      <c r="N310" s="1">
        <v>3867.07</v>
      </c>
      <c r="O310" s="1">
        <v>0</v>
      </c>
      <c r="P310" s="1">
        <v>3746.22</v>
      </c>
      <c r="Q310" s="1">
        <v>3746.22</v>
      </c>
      <c r="R310" s="1">
        <v>0</v>
      </c>
      <c r="S310" s="1">
        <v>3746.22</v>
      </c>
      <c r="T310" s="1">
        <v>3746.22</v>
      </c>
      <c r="U310" s="1">
        <v>0</v>
      </c>
      <c r="V310" s="1">
        <v>3746.22</v>
      </c>
      <c r="W310" s="1">
        <v>3746.22</v>
      </c>
      <c r="X310" s="1">
        <v>0</v>
      </c>
      <c r="Y310" s="1">
        <v>22598.17</v>
      </c>
      <c r="Z310" s="1">
        <v>3746.22</v>
      </c>
    </row>
    <row r="311" spans="1:26" x14ac:dyDescent="0.35">
      <c r="A311">
        <v>309</v>
      </c>
      <c r="B311">
        <v>4001</v>
      </c>
      <c r="C311" t="s">
        <v>230</v>
      </c>
      <c r="D311">
        <v>942151</v>
      </c>
      <c r="E311" t="s">
        <v>173</v>
      </c>
      <c r="F311" s="1">
        <v>0</v>
      </c>
      <c r="G311" s="1">
        <v>1873.11</v>
      </c>
      <c r="H311" s="1">
        <v>1873.11</v>
      </c>
      <c r="I311" s="1">
        <v>0</v>
      </c>
      <c r="J311" s="1">
        <v>1873.11</v>
      </c>
      <c r="K311" s="1">
        <v>1873.11</v>
      </c>
      <c r="L311" s="1">
        <v>0</v>
      </c>
      <c r="M311" s="1">
        <v>22477.32</v>
      </c>
      <c r="N311" s="1">
        <v>22477.32</v>
      </c>
      <c r="O311" s="1">
        <v>0</v>
      </c>
      <c r="P311" s="1">
        <v>1873.11</v>
      </c>
      <c r="Q311" s="1">
        <v>1873.11</v>
      </c>
      <c r="R311" s="1">
        <v>0</v>
      </c>
      <c r="S311" s="1">
        <v>1873.11</v>
      </c>
      <c r="T311" s="1">
        <v>1873.11</v>
      </c>
      <c r="U311" s="1">
        <v>0</v>
      </c>
      <c r="V311" s="1">
        <v>1873.11</v>
      </c>
      <c r="W311" s="1">
        <v>1873.11</v>
      </c>
      <c r="X311" s="1">
        <v>0</v>
      </c>
      <c r="Y311" s="1">
        <v>31842.87</v>
      </c>
      <c r="Z311" s="1">
        <v>1873.11</v>
      </c>
    </row>
    <row r="312" spans="1:26" x14ac:dyDescent="0.35">
      <c r="A312">
        <v>310</v>
      </c>
      <c r="B312">
        <v>4001</v>
      </c>
      <c r="C312" t="s">
        <v>230</v>
      </c>
      <c r="D312">
        <v>942711</v>
      </c>
      <c r="E312" t="s">
        <v>174</v>
      </c>
      <c r="F312" s="1">
        <v>0</v>
      </c>
      <c r="G312" s="1">
        <v>1517.22</v>
      </c>
      <c r="H312" s="1">
        <v>1517.22</v>
      </c>
      <c r="I312" s="1">
        <v>0</v>
      </c>
      <c r="J312" s="1">
        <v>1517.22</v>
      </c>
      <c r="K312" s="1">
        <v>1517.22</v>
      </c>
      <c r="L312" s="1">
        <v>0</v>
      </c>
      <c r="M312" s="1">
        <v>1566.16</v>
      </c>
      <c r="N312" s="1">
        <v>1566.16</v>
      </c>
      <c r="O312" s="1">
        <v>0</v>
      </c>
      <c r="P312" s="1">
        <v>1517.22</v>
      </c>
      <c r="Q312" s="1">
        <v>1517.22</v>
      </c>
      <c r="R312" s="1">
        <v>0</v>
      </c>
      <c r="S312" s="1">
        <v>1517.22</v>
      </c>
      <c r="T312" s="1">
        <v>1517.22</v>
      </c>
      <c r="U312" s="1">
        <v>0</v>
      </c>
      <c r="V312" s="1">
        <v>1517.22</v>
      </c>
      <c r="W312" s="1">
        <v>1517.22</v>
      </c>
      <c r="X312" s="1">
        <v>0</v>
      </c>
      <c r="Y312" s="1">
        <v>9152.26</v>
      </c>
      <c r="Z312" s="1">
        <v>1517.22</v>
      </c>
    </row>
    <row r="313" spans="1:26" x14ac:dyDescent="0.35">
      <c r="A313">
        <v>311</v>
      </c>
      <c r="B313">
        <v>4001</v>
      </c>
      <c r="C313" t="s">
        <v>230</v>
      </c>
      <c r="D313">
        <v>942741</v>
      </c>
      <c r="E313" t="s">
        <v>183</v>
      </c>
      <c r="F313" s="1">
        <v>0</v>
      </c>
      <c r="G313" s="1">
        <v>30</v>
      </c>
      <c r="H313" s="1">
        <v>30</v>
      </c>
      <c r="I313" s="1">
        <v>0</v>
      </c>
      <c r="J313" s="1">
        <v>30</v>
      </c>
      <c r="K313" s="1">
        <v>30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30</v>
      </c>
      <c r="T313" s="1">
        <v>30</v>
      </c>
      <c r="U313" s="1">
        <v>0</v>
      </c>
      <c r="V313" s="1">
        <v>30</v>
      </c>
      <c r="W313" s="1">
        <v>30</v>
      </c>
      <c r="X313" s="1">
        <v>0</v>
      </c>
      <c r="Y313" s="1">
        <v>120</v>
      </c>
      <c r="Z313" s="1">
        <v>30</v>
      </c>
    </row>
    <row r="314" spans="1:26" x14ac:dyDescent="0.35">
      <c r="A314">
        <v>312</v>
      </c>
      <c r="B314">
        <v>4001</v>
      </c>
      <c r="C314" t="s">
        <v>230</v>
      </c>
      <c r="D314">
        <v>942751</v>
      </c>
      <c r="E314" t="s">
        <v>231</v>
      </c>
      <c r="F314" s="1">
        <v>0</v>
      </c>
      <c r="G314" s="1">
        <v>1870.82</v>
      </c>
      <c r="H314" s="1">
        <v>1870.82</v>
      </c>
      <c r="I314" s="1">
        <v>0</v>
      </c>
      <c r="J314" s="1">
        <v>1870.82</v>
      </c>
      <c r="K314" s="1">
        <v>1870.82</v>
      </c>
      <c r="L314" s="1">
        <v>0</v>
      </c>
      <c r="M314" s="1">
        <v>1958.37</v>
      </c>
      <c r="N314" s="1">
        <v>1958.37</v>
      </c>
      <c r="O314" s="1">
        <v>0</v>
      </c>
      <c r="P314" s="1">
        <v>1942.06</v>
      </c>
      <c r="Q314" s="1">
        <v>1942.06</v>
      </c>
      <c r="R314" s="1">
        <v>0</v>
      </c>
      <c r="S314" s="1">
        <v>505.74</v>
      </c>
      <c r="T314" s="1">
        <v>505.74</v>
      </c>
      <c r="U314" s="1">
        <v>0</v>
      </c>
      <c r="V314" s="1">
        <v>505.74</v>
      </c>
      <c r="W314" s="1">
        <v>505.74</v>
      </c>
      <c r="X314" s="1">
        <v>0</v>
      </c>
      <c r="Y314" s="1">
        <v>8653.5499999999993</v>
      </c>
      <c r="Z314" s="1">
        <v>1870.82</v>
      </c>
    </row>
    <row r="315" spans="1:26" x14ac:dyDescent="0.35">
      <c r="A315">
        <v>313</v>
      </c>
      <c r="B315">
        <v>4001</v>
      </c>
      <c r="C315" t="s">
        <v>230</v>
      </c>
      <c r="D315">
        <v>942911</v>
      </c>
      <c r="E315" t="s">
        <v>232</v>
      </c>
      <c r="F315" s="1">
        <v>0</v>
      </c>
      <c r="G315" s="1">
        <v>2185.3000000000002</v>
      </c>
      <c r="H315" s="1">
        <v>2185.3000000000002</v>
      </c>
      <c r="I315" s="1">
        <v>0</v>
      </c>
      <c r="J315" s="1">
        <v>2185.3000000000002</v>
      </c>
      <c r="K315" s="1">
        <v>2185.3000000000002</v>
      </c>
      <c r="L315" s="1">
        <v>0</v>
      </c>
      <c r="M315" s="1">
        <v>2255.79</v>
      </c>
      <c r="N315" s="1">
        <v>2255.79</v>
      </c>
      <c r="O315" s="1">
        <v>0</v>
      </c>
      <c r="P315" s="1">
        <v>2185.3000000000002</v>
      </c>
      <c r="Q315" s="1">
        <v>2185.3000000000002</v>
      </c>
      <c r="R315" s="1">
        <v>0</v>
      </c>
      <c r="S315" s="1">
        <v>2185.3000000000002</v>
      </c>
      <c r="T315" s="1">
        <v>2185.3000000000002</v>
      </c>
      <c r="U315" s="1">
        <v>0</v>
      </c>
      <c r="V315" s="1">
        <v>2185.3000000000002</v>
      </c>
      <c r="W315" s="1">
        <v>2185.3000000000002</v>
      </c>
      <c r="X315" s="1">
        <v>0</v>
      </c>
      <c r="Y315" s="1">
        <v>13182.29</v>
      </c>
      <c r="Z315" s="1">
        <v>2185.3000000000002</v>
      </c>
    </row>
    <row r="316" spans="1:26" x14ac:dyDescent="0.35">
      <c r="A316">
        <v>314</v>
      </c>
      <c r="B316">
        <v>4001</v>
      </c>
      <c r="C316" t="s">
        <v>230</v>
      </c>
      <c r="D316">
        <v>945111</v>
      </c>
      <c r="E316" t="s">
        <v>192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283.33</v>
      </c>
      <c r="N316" s="1">
        <v>283.33</v>
      </c>
      <c r="O316" s="1">
        <v>0</v>
      </c>
      <c r="P316" s="1">
        <v>332.26</v>
      </c>
      <c r="Q316" s="1">
        <v>332.26</v>
      </c>
      <c r="R316" s="1">
        <v>0</v>
      </c>
      <c r="S316" s="1">
        <v>328.55</v>
      </c>
      <c r="T316" s="1">
        <v>328.55</v>
      </c>
      <c r="U316" s="1">
        <v>0</v>
      </c>
      <c r="V316" s="1">
        <v>321.31</v>
      </c>
      <c r="W316" s="1">
        <v>321.31</v>
      </c>
      <c r="X316" s="1">
        <v>0</v>
      </c>
      <c r="Y316" s="1">
        <v>1265.45</v>
      </c>
      <c r="Z316" s="1">
        <v>0</v>
      </c>
    </row>
    <row r="317" spans="1:26" x14ac:dyDescent="0.35">
      <c r="A317">
        <v>315</v>
      </c>
      <c r="B317">
        <v>4001</v>
      </c>
      <c r="C317" t="s">
        <v>230</v>
      </c>
      <c r="D317">
        <v>948415</v>
      </c>
      <c r="E317" t="s">
        <v>166</v>
      </c>
      <c r="F317" s="1">
        <v>0</v>
      </c>
      <c r="G317" s="1">
        <v>17.559999999999999</v>
      </c>
      <c r="H317" s="1">
        <v>17.559999999999999</v>
      </c>
      <c r="I317" s="1">
        <v>0</v>
      </c>
      <c r="J317" s="1">
        <v>17.55</v>
      </c>
      <c r="K317" s="1">
        <v>17.55</v>
      </c>
      <c r="L317" s="1">
        <v>0</v>
      </c>
      <c r="M317" s="1">
        <v>17.559999999999999</v>
      </c>
      <c r="N317" s="1">
        <v>17.559999999999999</v>
      </c>
      <c r="O317" s="1">
        <v>0</v>
      </c>
      <c r="P317" s="1">
        <v>17.55</v>
      </c>
      <c r="Q317" s="1">
        <v>17.55</v>
      </c>
      <c r="R317" s="1">
        <v>0</v>
      </c>
      <c r="S317" s="1">
        <v>17.559999999999999</v>
      </c>
      <c r="T317" s="1">
        <v>17.559999999999999</v>
      </c>
      <c r="U317" s="1">
        <v>0</v>
      </c>
      <c r="V317" s="1">
        <v>17.55</v>
      </c>
      <c r="W317" s="1">
        <v>17.55</v>
      </c>
      <c r="X317" s="1">
        <v>0</v>
      </c>
      <c r="Y317" s="1">
        <v>105.33</v>
      </c>
      <c r="Z317" s="1">
        <v>17.559999999999999</v>
      </c>
    </row>
    <row r="318" spans="1:26" x14ac:dyDescent="0.35">
      <c r="A318">
        <v>316</v>
      </c>
      <c r="B318">
        <v>4001</v>
      </c>
      <c r="C318" t="s">
        <v>230</v>
      </c>
      <c r="D318">
        <v>9421111</v>
      </c>
      <c r="E318" t="s">
        <v>197</v>
      </c>
      <c r="F318" s="1">
        <v>0</v>
      </c>
      <c r="G318" s="1">
        <v>113</v>
      </c>
      <c r="H318" s="1">
        <v>113</v>
      </c>
      <c r="I318" s="1">
        <v>0</v>
      </c>
      <c r="J318" s="1">
        <v>113</v>
      </c>
      <c r="K318" s="1">
        <v>113</v>
      </c>
      <c r="L318" s="1">
        <v>0</v>
      </c>
      <c r="M318" s="1">
        <v>3.65</v>
      </c>
      <c r="N318" s="1">
        <v>3.65</v>
      </c>
      <c r="O318" s="1">
        <v>0</v>
      </c>
      <c r="P318" s="1">
        <v>113</v>
      </c>
      <c r="Q318" s="1">
        <v>113</v>
      </c>
      <c r="R318" s="1">
        <v>0</v>
      </c>
      <c r="S318" s="1">
        <v>113</v>
      </c>
      <c r="T318" s="1">
        <v>113</v>
      </c>
      <c r="U318" s="1">
        <v>0</v>
      </c>
      <c r="V318" s="1">
        <v>113</v>
      </c>
      <c r="W318" s="1">
        <v>113</v>
      </c>
      <c r="X318" s="1">
        <v>0</v>
      </c>
      <c r="Y318" s="1">
        <v>568.65</v>
      </c>
      <c r="Z318" s="1">
        <v>113</v>
      </c>
    </row>
    <row r="319" spans="1:26" x14ac:dyDescent="0.35">
      <c r="A319">
        <v>317</v>
      </c>
      <c r="B319">
        <v>4001</v>
      </c>
      <c r="C319" t="s">
        <v>230</v>
      </c>
      <c r="D319">
        <v>9431512</v>
      </c>
      <c r="E319" t="s">
        <v>233</v>
      </c>
      <c r="F319" s="1">
        <v>0</v>
      </c>
      <c r="G319" s="1">
        <v>0</v>
      </c>
      <c r="H319" s="1">
        <v>0</v>
      </c>
      <c r="I319" s="1">
        <v>0</v>
      </c>
      <c r="J319" s="1">
        <v>26161.72</v>
      </c>
      <c r="K319" s="1">
        <v>26161.72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26161.72</v>
      </c>
      <c r="Z319" s="1">
        <v>0</v>
      </c>
    </row>
    <row r="320" spans="1:26" x14ac:dyDescent="0.35">
      <c r="A320">
        <v>318</v>
      </c>
      <c r="B320">
        <v>4001</v>
      </c>
      <c r="C320" t="s">
        <v>230</v>
      </c>
      <c r="D320">
        <v>9456113</v>
      </c>
      <c r="E320" t="s">
        <v>144</v>
      </c>
      <c r="F320" s="1">
        <v>0</v>
      </c>
      <c r="G320" s="1">
        <v>620.85</v>
      </c>
      <c r="H320" s="1">
        <v>620.85</v>
      </c>
      <c r="I320" s="1">
        <v>0</v>
      </c>
      <c r="J320" s="1">
        <v>764.99</v>
      </c>
      <c r="K320" s="1">
        <v>764.99</v>
      </c>
      <c r="L320" s="1">
        <v>0</v>
      </c>
      <c r="M320" s="1">
        <v>228.02</v>
      </c>
      <c r="N320" s="1">
        <v>228.02</v>
      </c>
      <c r="O320" s="1">
        <v>0</v>
      </c>
      <c r="P320" s="1">
        <v>819.04</v>
      </c>
      <c r="Q320" s="1">
        <v>819.04</v>
      </c>
      <c r="R320" s="1">
        <v>0</v>
      </c>
      <c r="S320" s="1">
        <v>1675.51</v>
      </c>
      <c r="T320" s="1">
        <v>1675.51</v>
      </c>
      <c r="U320" s="1">
        <v>0</v>
      </c>
      <c r="V320" s="1">
        <v>1882.67</v>
      </c>
      <c r="W320" s="1">
        <v>1882.67</v>
      </c>
      <c r="X320" s="1">
        <v>0</v>
      </c>
      <c r="Y320" s="1">
        <v>5991.08</v>
      </c>
      <c r="Z320" s="1">
        <v>620.85</v>
      </c>
    </row>
    <row r="321" spans="1:26" x14ac:dyDescent="0.35">
      <c r="A321">
        <v>319</v>
      </c>
      <c r="B321">
        <v>4002</v>
      </c>
      <c r="C321" t="s">
        <v>234</v>
      </c>
      <c r="D321">
        <v>928411</v>
      </c>
      <c r="E321" t="s">
        <v>161</v>
      </c>
      <c r="F321" s="1">
        <v>0</v>
      </c>
      <c r="G321" s="1">
        <v>4.8600000000000003</v>
      </c>
      <c r="H321" s="1">
        <v>4.8600000000000003</v>
      </c>
      <c r="I321" s="1">
        <v>0</v>
      </c>
      <c r="J321" s="1">
        <v>4.8600000000000003</v>
      </c>
      <c r="K321" s="1">
        <v>4.8600000000000003</v>
      </c>
      <c r="L321" s="1">
        <v>0</v>
      </c>
      <c r="M321" s="1">
        <v>4.8600000000000003</v>
      </c>
      <c r="N321" s="1">
        <v>4.8600000000000003</v>
      </c>
      <c r="O321" s="1">
        <v>0</v>
      </c>
      <c r="P321" s="1">
        <v>4.8600000000000003</v>
      </c>
      <c r="Q321" s="1">
        <v>4.8600000000000003</v>
      </c>
      <c r="R321" s="1">
        <v>0</v>
      </c>
      <c r="S321" s="1">
        <v>4.8600000000000003</v>
      </c>
      <c r="T321" s="1">
        <v>4.8600000000000003</v>
      </c>
      <c r="U321" s="1">
        <v>0</v>
      </c>
      <c r="V321" s="1">
        <v>4.8600000000000003</v>
      </c>
      <c r="W321" s="1">
        <v>4.8600000000000003</v>
      </c>
      <c r="X321" s="1">
        <v>0</v>
      </c>
      <c r="Y321" s="1">
        <v>29.16</v>
      </c>
      <c r="Z321" s="1">
        <v>4.8600000000000003</v>
      </c>
    </row>
    <row r="322" spans="1:26" x14ac:dyDescent="0.35">
      <c r="A322">
        <v>320</v>
      </c>
      <c r="B322">
        <v>4002</v>
      </c>
      <c r="C322" t="s">
        <v>234</v>
      </c>
      <c r="D322">
        <v>942111</v>
      </c>
      <c r="E322" t="s">
        <v>171</v>
      </c>
      <c r="F322" s="1">
        <v>0</v>
      </c>
      <c r="G322" s="1">
        <v>3400</v>
      </c>
      <c r="H322" s="1">
        <v>3400</v>
      </c>
      <c r="I322" s="1">
        <v>0</v>
      </c>
      <c r="J322" s="1">
        <v>3400</v>
      </c>
      <c r="K322" s="1">
        <v>3400</v>
      </c>
      <c r="L322" s="1">
        <v>0</v>
      </c>
      <c r="M322" s="1">
        <v>0</v>
      </c>
      <c r="N322" s="1">
        <v>0</v>
      </c>
      <c r="O322" s="1">
        <v>0</v>
      </c>
      <c r="P322" s="1">
        <v>4000</v>
      </c>
      <c r="Q322" s="1">
        <v>4000</v>
      </c>
      <c r="R322" s="1">
        <v>0</v>
      </c>
      <c r="S322" s="1">
        <v>4000</v>
      </c>
      <c r="T322" s="1">
        <v>4000</v>
      </c>
      <c r="U322" s="1">
        <v>0</v>
      </c>
      <c r="V322" s="1">
        <v>5933.33</v>
      </c>
      <c r="W322" s="1">
        <v>5933.33</v>
      </c>
      <c r="X322" s="1">
        <v>0</v>
      </c>
      <c r="Y322" s="1">
        <v>20733.330000000002</v>
      </c>
      <c r="Z322" s="1">
        <v>3400</v>
      </c>
    </row>
    <row r="323" spans="1:26" x14ac:dyDescent="0.35">
      <c r="A323">
        <v>321</v>
      </c>
      <c r="B323">
        <v>4002</v>
      </c>
      <c r="C323" t="s">
        <v>234</v>
      </c>
      <c r="D323">
        <v>942141</v>
      </c>
      <c r="E323" t="s">
        <v>172</v>
      </c>
      <c r="F323" s="1">
        <v>0</v>
      </c>
      <c r="G323" s="1">
        <v>585.5</v>
      </c>
      <c r="H323" s="1">
        <v>585.5</v>
      </c>
      <c r="I323" s="1">
        <v>0</v>
      </c>
      <c r="J323" s="1">
        <v>585.5</v>
      </c>
      <c r="K323" s="1">
        <v>585.5</v>
      </c>
      <c r="L323" s="1">
        <v>0</v>
      </c>
      <c r="M323" s="1">
        <v>586.11</v>
      </c>
      <c r="N323" s="1">
        <v>586.11</v>
      </c>
      <c r="O323" s="1">
        <v>0</v>
      </c>
      <c r="P323" s="1">
        <v>685.5</v>
      </c>
      <c r="Q323" s="1">
        <v>685.5</v>
      </c>
      <c r="R323" s="1">
        <v>0</v>
      </c>
      <c r="S323" s="1">
        <v>0</v>
      </c>
      <c r="T323" s="1">
        <v>0</v>
      </c>
      <c r="U323" s="1">
        <v>0</v>
      </c>
      <c r="V323" s="1">
        <v>1007.72</v>
      </c>
      <c r="W323" s="1">
        <v>1007.72</v>
      </c>
      <c r="X323" s="1">
        <v>0</v>
      </c>
      <c r="Y323" s="1">
        <v>3450.33</v>
      </c>
      <c r="Z323" s="1">
        <v>585.5</v>
      </c>
    </row>
    <row r="324" spans="1:26" x14ac:dyDescent="0.35">
      <c r="A324">
        <v>322</v>
      </c>
      <c r="B324">
        <v>4002</v>
      </c>
      <c r="C324" t="s">
        <v>234</v>
      </c>
      <c r="D324">
        <v>942151</v>
      </c>
      <c r="E324" t="s">
        <v>173</v>
      </c>
      <c r="F324" s="1">
        <v>0</v>
      </c>
      <c r="G324" s="1">
        <v>292.75</v>
      </c>
      <c r="H324" s="1">
        <v>292.75</v>
      </c>
      <c r="I324" s="1">
        <v>0</v>
      </c>
      <c r="J324" s="1">
        <v>292.75</v>
      </c>
      <c r="K324" s="1">
        <v>292.75</v>
      </c>
      <c r="L324" s="1">
        <v>0</v>
      </c>
      <c r="M324" s="1">
        <v>3809.7</v>
      </c>
      <c r="N324" s="1">
        <v>3809.7</v>
      </c>
      <c r="O324" s="1">
        <v>0</v>
      </c>
      <c r="P324" s="1">
        <v>342.75</v>
      </c>
      <c r="Q324" s="1">
        <v>342.75</v>
      </c>
      <c r="R324" s="1">
        <v>0</v>
      </c>
      <c r="S324" s="1">
        <v>0</v>
      </c>
      <c r="T324" s="1">
        <v>0</v>
      </c>
      <c r="U324" s="1">
        <v>0</v>
      </c>
      <c r="V324" s="1">
        <v>503.86</v>
      </c>
      <c r="W324" s="1">
        <v>503.86</v>
      </c>
      <c r="X324" s="1">
        <v>0</v>
      </c>
      <c r="Y324" s="1">
        <v>5241.8100000000004</v>
      </c>
      <c r="Z324" s="1">
        <v>292.75</v>
      </c>
    </row>
    <row r="325" spans="1:26" x14ac:dyDescent="0.35">
      <c r="A325">
        <v>323</v>
      </c>
      <c r="B325">
        <v>4002</v>
      </c>
      <c r="C325" t="s">
        <v>234</v>
      </c>
      <c r="D325">
        <v>942511</v>
      </c>
      <c r="E325" t="s">
        <v>138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69.06</v>
      </c>
      <c r="W325" s="1">
        <v>69.06</v>
      </c>
      <c r="X325" s="1">
        <v>0</v>
      </c>
      <c r="Y325" s="1">
        <v>69.06</v>
      </c>
      <c r="Z325" s="1">
        <v>0</v>
      </c>
    </row>
    <row r="326" spans="1:26" x14ac:dyDescent="0.35">
      <c r="A326">
        <v>324</v>
      </c>
      <c r="B326">
        <v>4002</v>
      </c>
      <c r="C326" t="s">
        <v>234</v>
      </c>
      <c r="D326">
        <v>942711</v>
      </c>
      <c r="E326" t="s">
        <v>174</v>
      </c>
      <c r="F326" s="1">
        <v>0</v>
      </c>
      <c r="G326" s="1">
        <v>316.17</v>
      </c>
      <c r="H326" s="1">
        <v>316.17</v>
      </c>
      <c r="I326" s="1">
        <v>0</v>
      </c>
      <c r="J326" s="1">
        <v>316.17</v>
      </c>
      <c r="K326" s="1">
        <v>316.17</v>
      </c>
      <c r="L326" s="1">
        <v>0</v>
      </c>
      <c r="M326" s="1">
        <v>316.5</v>
      </c>
      <c r="N326" s="1">
        <v>316.5</v>
      </c>
      <c r="O326" s="1">
        <v>0</v>
      </c>
      <c r="P326" s="1">
        <v>370.17</v>
      </c>
      <c r="Q326" s="1">
        <v>370.17</v>
      </c>
      <c r="R326" s="1">
        <v>0</v>
      </c>
      <c r="S326" s="1">
        <v>370.17</v>
      </c>
      <c r="T326" s="1">
        <v>370.17</v>
      </c>
      <c r="U326" s="1">
        <v>0</v>
      </c>
      <c r="V326" s="1">
        <v>544.16999999999996</v>
      </c>
      <c r="W326" s="1">
        <v>544.16999999999996</v>
      </c>
      <c r="X326" s="1">
        <v>0</v>
      </c>
      <c r="Y326" s="1">
        <v>2233.35</v>
      </c>
      <c r="Z326" s="1">
        <v>316.17</v>
      </c>
    </row>
    <row r="327" spans="1:26" x14ac:dyDescent="0.35">
      <c r="A327">
        <v>325</v>
      </c>
      <c r="B327">
        <v>4002</v>
      </c>
      <c r="C327" t="s">
        <v>234</v>
      </c>
      <c r="D327">
        <v>942911</v>
      </c>
      <c r="E327" t="s">
        <v>232</v>
      </c>
      <c r="F327" s="1">
        <v>0</v>
      </c>
      <c r="G327" s="1">
        <v>341.54</v>
      </c>
      <c r="H327" s="1">
        <v>341.54</v>
      </c>
      <c r="I327" s="1">
        <v>0</v>
      </c>
      <c r="J327" s="1">
        <v>341.54</v>
      </c>
      <c r="K327" s="1">
        <v>341.54</v>
      </c>
      <c r="L327" s="1">
        <v>0</v>
      </c>
      <c r="M327" s="1">
        <v>341.9</v>
      </c>
      <c r="N327" s="1">
        <v>341.9</v>
      </c>
      <c r="O327" s="1">
        <v>0</v>
      </c>
      <c r="P327" s="1">
        <v>399.88</v>
      </c>
      <c r="Q327" s="1">
        <v>399.88</v>
      </c>
      <c r="R327" s="1">
        <v>0</v>
      </c>
      <c r="S327" s="1">
        <v>218.24</v>
      </c>
      <c r="T327" s="1">
        <v>218.24</v>
      </c>
      <c r="U327" s="1">
        <v>0</v>
      </c>
      <c r="V327" s="1">
        <v>560.99</v>
      </c>
      <c r="W327" s="1">
        <v>560.99</v>
      </c>
      <c r="X327" s="1">
        <v>0</v>
      </c>
      <c r="Y327" s="1">
        <v>2204.09</v>
      </c>
      <c r="Z327" s="1">
        <v>341.54</v>
      </c>
    </row>
    <row r="328" spans="1:26" x14ac:dyDescent="0.35">
      <c r="A328">
        <v>326</v>
      </c>
      <c r="B328">
        <v>4002</v>
      </c>
      <c r="C328" t="s">
        <v>234</v>
      </c>
      <c r="D328">
        <v>943231</v>
      </c>
      <c r="E328" t="s">
        <v>235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6997.03</v>
      </c>
      <c r="Q328" s="1">
        <v>6997.03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6997.03</v>
      </c>
      <c r="Z328" s="1">
        <v>0</v>
      </c>
    </row>
    <row r="329" spans="1:26" x14ac:dyDescent="0.35">
      <c r="A329">
        <v>327</v>
      </c>
      <c r="B329">
        <v>4002</v>
      </c>
      <c r="C329" t="s">
        <v>234</v>
      </c>
      <c r="D329">
        <v>943561</v>
      </c>
      <c r="E329" t="s">
        <v>127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</row>
    <row r="330" spans="1:26" x14ac:dyDescent="0.35">
      <c r="A330">
        <v>328</v>
      </c>
      <c r="B330">
        <v>4002</v>
      </c>
      <c r="C330" t="s">
        <v>234</v>
      </c>
      <c r="D330">
        <v>948415</v>
      </c>
      <c r="E330" t="s">
        <v>166</v>
      </c>
      <c r="F330" s="1">
        <v>0</v>
      </c>
      <c r="G330" s="1">
        <v>17.91</v>
      </c>
      <c r="H330" s="1">
        <v>17.91</v>
      </c>
      <c r="I330" s="1">
        <v>0</v>
      </c>
      <c r="J330" s="1">
        <v>17.91</v>
      </c>
      <c r="K330" s="1">
        <v>17.91</v>
      </c>
      <c r="L330" s="1">
        <v>0</v>
      </c>
      <c r="M330" s="1">
        <v>17.91</v>
      </c>
      <c r="N330" s="1">
        <v>17.91</v>
      </c>
      <c r="O330" s="1">
        <v>0</v>
      </c>
      <c r="P330" s="1">
        <v>17.91</v>
      </c>
      <c r="Q330" s="1">
        <v>17.91</v>
      </c>
      <c r="R330" s="1">
        <v>0</v>
      </c>
      <c r="S330" s="1">
        <v>17.91</v>
      </c>
      <c r="T330" s="1">
        <v>17.91</v>
      </c>
      <c r="U330" s="1">
        <v>0</v>
      </c>
      <c r="V330" s="1">
        <v>17.91</v>
      </c>
      <c r="W330" s="1">
        <v>17.91</v>
      </c>
      <c r="X330" s="1">
        <v>0</v>
      </c>
      <c r="Y330" s="1">
        <v>107.46</v>
      </c>
      <c r="Z330" s="1">
        <v>17.91</v>
      </c>
    </row>
    <row r="331" spans="1:26" x14ac:dyDescent="0.35">
      <c r="A331">
        <v>329</v>
      </c>
      <c r="B331">
        <v>4002</v>
      </c>
      <c r="C331" t="s">
        <v>234</v>
      </c>
      <c r="D331">
        <v>9421111</v>
      </c>
      <c r="E331" t="s">
        <v>197</v>
      </c>
      <c r="F331" s="1">
        <v>0</v>
      </c>
      <c r="G331" s="1">
        <v>113</v>
      </c>
      <c r="H331" s="1">
        <v>113</v>
      </c>
      <c r="I331" s="1">
        <v>0</v>
      </c>
      <c r="J331" s="1">
        <v>113</v>
      </c>
      <c r="K331" s="1">
        <v>113</v>
      </c>
      <c r="L331" s="1">
        <v>0</v>
      </c>
      <c r="M331" s="1">
        <v>0</v>
      </c>
      <c r="N331" s="1">
        <v>0</v>
      </c>
      <c r="O331" s="1">
        <v>0</v>
      </c>
      <c r="P331" s="1">
        <v>113</v>
      </c>
      <c r="Q331" s="1">
        <v>113</v>
      </c>
      <c r="R331" s="1">
        <v>0</v>
      </c>
      <c r="S331" s="1">
        <v>113</v>
      </c>
      <c r="T331" s="1">
        <v>113</v>
      </c>
      <c r="U331" s="1">
        <v>0</v>
      </c>
      <c r="V331" s="1">
        <v>113</v>
      </c>
      <c r="W331" s="1">
        <v>113</v>
      </c>
      <c r="X331" s="1">
        <v>0</v>
      </c>
      <c r="Y331" s="1">
        <v>565</v>
      </c>
      <c r="Z331" s="1">
        <v>113</v>
      </c>
    </row>
    <row r="332" spans="1:26" x14ac:dyDescent="0.35">
      <c r="A332">
        <v>330</v>
      </c>
      <c r="B332">
        <v>4002</v>
      </c>
      <c r="C332" t="s">
        <v>234</v>
      </c>
      <c r="D332">
        <v>9432311</v>
      </c>
      <c r="E332" t="s">
        <v>236</v>
      </c>
      <c r="F332" s="1">
        <v>0</v>
      </c>
      <c r="G332" s="1">
        <v>0</v>
      </c>
      <c r="H332" s="1">
        <v>0</v>
      </c>
      <c r="I332" s="1">
        <v>0</v>
      </c>
      <c r="J332" s="1">
        <v>11400</v>
      </c>
      <c r="K332" s="1">
        <v>11400</v>
      </c>
      <c r="L332" s="1">
        <v>0</v>
      </c>
      <c r="M332" s="1">
        <v>32348.33</v>
      </c>
      <c r="N332" s="1">
        <v>32348.33</v>
      </c>
      <c r="O332" s="1">
        <v>0</v>
      </c>
      <c r="P332" s="1">
        <v>4710</v>
      </c>
      <c r="Q332" s="1">
        <v>4710</v>
      </c>
      <c r="R332" s="1">
        <v>0</v>
      </c>
      <c r="S332" s="1">
        <v>690</v>
      </c>
      <c r="T332" s="1">
        <v>690</v>
      </c>
      <c r="U332" s="1">
        <v>0</v>
      </c>
      <c r="V332" s="1">
        <v>0</v>
      </c>
      <c r="W332" s="1">
        <v>0</v>
      </c>
      <c r="X332" s="1">
        <v>0</v>
      </c>
      <c r="Y332" s="1">
        <v>49148.33</v>
      </c>
      <c r="Z332" s="1">
        <v>0</v>
      </c>
    </row>
    <row r="333" spans="1:26" x14ac:dyDescent="0.35">
      <c r="A333">
        <v>331</v>
      </c>
      <c r="B333">
        <v>4002</v>
      </c>
      <c r="C333" t="s">
        <v>234</v>
      </c>
      <c r="D333">
        <v>943916</v>
      </c>
      <c r="E333" t="s">
        <v>167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</row>
    <row r="334" spans="1:26" x14ac:dyDescent="0.35">
      <c r="A334">
        <v>332</v>
      </c>
      <c r="B334">
        <v>4002</v>
      </c>
      <c r="C334" t="s">
        <v>234</v>
      </c>
      <c r="D334">
        <v>9456113</v>
      </c>
      <c r="E334" t="s">
        <v>144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</row>
    <row r="335" spans="1:26" x14ac:dyDescent="0.35">
      <c r="A335">
        <v>333</v>
      </c>
      <c r="B335">
        <v>4003</v>
      </c>
      <c r="C335" t="s">
        <v>237</v>
      </c>
      <c r="D335">
        <v>922741</v>
      </c>
      <c r="E335" t="s">
        <v>183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</row>
    <row r="336" spans="1:26" x14ac:dyDescent="0.35">
      <c r="A336">
        <v>334</v>
      </c>
      <c r="B336">
        <v>4003</v>
      </c>
      <c r="C336" t="s">
        <v>237</v>
      </c>
      <c r="D336">
        <v>923911</v>
      </c>
      <c r="E336" t="s">
        <v>176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24.62</v>
      </c>
      <c r="W336" s="1">
        <v>24.62</v>
      </c>
      <c r="X336" s="1">
        <v>0</v>
      </c>
      <c r="Y336" s="1">
        <v>24.62</v>
      </c>
      <c r="Z336" s="1">
        <v>0</v>
      </c>
    </row>
    <row r="337" spans="1:26" x14ac:dyDescent="0.35">
      <c r="A337">
        <v>335</v>
      </c>
      <c r="B337">
        <v>4003</v>
      </c>
      <c r="C337" t="s">
        <v>237</v>
      </c>
      <c r="D337">
        <v>941311</v>
      </c>
      <c r="E337" t="s">
        <v>124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116.69</v>
      </c>
      <c r="T337" s="1">
        <v>116.69</v>
      </c>
      <c r="U337" s="1">
        <v>0</v>
      </c>
      <c r="V337" s="1">
        <v>0</v>
      </c>
      <c r="W337" s="1">
        <v>0</v>
      </c>
      <c r="X337" s="1">
        <v>0</v>
      </c>
      <c r="Y337" s="1">
        <v>116.69</v>
      </c>
      <c r="Z337" s="1">
        <v>0</v>
      </c>
    </row>
    <row r="338" spans="1:26" x14ac:dyDescent="0.35">
      <c r="A338">
        <v>336</v>
      </c>
      <c r="B338">
        <v>4003</v>
      </c>
      <c r="C338" t="s">
        <v>237</v>
      </c>
      <c r="D338">
        <v>942111</v>
      </c>
      <c r="E338" t="s">
        <v>171</v>
      </c>
      <c r="F338" s="1">
        <v>0</v>
      </c>
      <c r="G338" s="1">
        <v>7955.88</v>
      </c>
      <c r="H338" s="1">
        <v>7955.88</v>
      </c>
      <c r="I338" s="1">
        <v>0</v>
      </c>
      <c r="J338" s="1">
        <v>7955.88</v>
      </c>
      <c r="K338" s="1">
        <v>7955.88</v>
      </c>
      <c r="L338" s="1">
        <v>0</v>
      </c>
      <c r="M338" s="1">
        <v>-295.47000000000003</v>
      </c>
      <c r="N338" s="1">
        <v>-295.47000000000003</v>
      </c>
      <c r="O338" s="1">
        <v>0</v>
      </c>
      <c r="P338" s="1">
        <v>7955.88</v>
      </c>
      <c r="Q338" s="1">
        <v>7955.88</v>
      </c>
      <c r="R338" s="1">
        <v>0</v>
      </c>
      <c r="S338" s="1">
        <v>7955.88</v>
      </c>
      <c r="T338" s="1">
        <v>7955.88</v>
      </c>
      <c r="U338" s="1">
        <v>0</v>
      </c>
      <c r="V338" s="1">
        <v>7955.88</v>
      </c>
      <c r="W338" s="1">
        <v>7955.88</v>
      </c>
      <c r="X338" s="1">
        <v>0</v>
      </c>
      <c r="Y338" s="1">
        <v>39483.93</v>
      </c>
      <c r="Z338" s="1">
        <v>7955.88</v>
      </c>
    </row>
    <row r="339" spans="1:26" x14ac:dyDescent="0.35">
      <c r="A339">
        <v>337</v>
      </c>
      <c r="B339">
        <v>4003</v>
      </c>
      <c r="C339" t="s">
        <v>237</v>
      </c>
      <c r="D339">
        <v>942141</v>
      </c>
      <c r="E339" t="s">
        <v>172</v>
      </c>
      <c r="F339" s="1">
        <v>0</v>
      </c>
      <c r="G339" s="1">
        <v>1440.98</v>
      </c>
      <c r="H339" s="1">
        <v>1440.98</v>
      </c>
      <c r="I339" s="1">
        <v>0</v>
      </c>
      <c r="J339" s="1">
        <v>1440.98</v>
      </c>
      <c r="K339" s="1">
        <v>1440.98</v>
      </c>
      <c r="L339" s="1">
        <v>0</v>
      </c>
      <c r="M339" s="1">
        <v>1487.46</v>
      </c>
      <c r="N339" s="1">
        <v>1487.46</v>
      </c>
      <c r="O339" s="1">
        <v>0</v>
      </c>
      <c r="P339" s="1">
        <v>1440.98</v>
      </c>
      <c r="Q339" s="1">
        <v>1440.98</v>
      </c>
      <c r="R339" s="1">
        <v>0</v>
      </c>
      <c r="S339" s="1">
        <v>1440.98</v>
      </c>
      <c r="T339" s="1">
        <v>1440.98</v>
      </c>
      <c r="U339" s="1">
        <v>0</v>
      </c>
      <c r="V339" s="1">
        <v>1440.98</v>
      </c>
      <c r="W339" s="1">
        <v>1440.98</v>
      </c>
      <c r="X339" s="1">
        <v>0</v>
      </c>
      <c r="Y339" s="1">
        <v>8692.36</v>
      </c>
      <c r="Z339" s="1">
        <v>1440.98</v>
      </c>
    </row>
    <row r="340" spans="1:26" x14ac:dyDescent="0.35">
      <c r="A340">
        <v>338</v>
      </c>
      <c r="B340">
        <v>4003</v>
      </c>
      <c r="C340" t="s">
        <v>237</v>
      </c>
      <c r="D340">
        <v>942151</v>
      </c>
      <c r="E340" t="s">
        <v>173</v>
      </c>
      <c r="F340" s="1">
        <v>0</v>
      </c>
      <c r="G340" s="1">
        <v>720.49</v>
      </c>
      <c r="H340" s="1">
        <v>720.49</v>
      </c>
      <c r="I340" s="1">
        <v>0</v>
      </c>
      <c r="J340" s="1">
        <v>720.49</v>
      </c>
      <c r="K340" s="1">
        <v>720.49</v>
      </c>
      <c r="L340" s="1">
        <v>0</v>
      </c>
      <c r="M340" s="1">
        <v>9389.61</v>
      </c>
      <c r="N340" s="1">
        <v>9389.61</v>
      </c>
      <c r="O340" s="1">
        <v>0</v>
      </c>
      <c r="P340" s="1">
        <v>720.49</v>
      </c>
      <c r="Q340" s="1">
        <v>720.49</v>
      </c>
      <c r="R340" s="1">
        <v>0</v>
      </c>
      <c r="S340" s="1">
        <v>720.49</v>
      </c>
      <c r="T340" s="1">
        <v>720.49</v>
      </c>
      <c r="U340" s="1">
        <v>0</v>
      </c>
      <c r="V340" s="1">
        <v>720.49</v>
      </c>
      <c r="W340" s="1">
        <v>720.49</v>
      </c>
      <c r="X340" s="1">
        <v>0</v>
      </c>
      <c r="Y340" s="1">
        <v>12992.06</v>
      </c>
      <c r="Z340" s="1">
        <v>720.49</v>
      </c>
    </row>
    <row r="341" spans="1:26" x14ac:dyDescent="0.35">
      <c r="A341">
        <v>339</v>
      </c>
      <c r="B341">
        <v>4003</v>
      </c>
      <c r="C341" t="s">
        <v>237</v>
      </c>
      <c r="D341">
        <v>942411</v>
      </c>
      <c r="E341" t="s">
        <v>137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</row>
    <row r="342" spans="1:26" x14ac:dyDescent="0.35">
      <c r="A342">
        <v>340</v>
      </c>
      <c r="B342">
        <v>4003</v>
      </c>
      <c r="C342" t="s">
        <v>237</v>
      </c>
      <c r="D342">
        <v>942511</v>
      </c>
      <c r="E342" t="s">
        <v>138</v>
      </c>
      <c r="F342" s="1">
        <v>0</v>
      </c>
      <c r="G342" s="1">
        <v>401.19</v>
      </c>
      <c r="H342" s="1">
        <v>401.19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401.19</v>
      </c>
      <c r="Z342" s="1">
        <v>401.19</v>
      </c>
    </row>
    <row r="343" spans="1:26" x14ac:dyDescent="0.35">
      <c r="A343">
        <v>341</v>
      </c>
      <c r="B343">
        <v>4003</v>
      </c>
      <c r="C343" t="s">
        <v>237</v>
      </c>
      <c r="D343">
        <v>942711</v>
      </c>
      <c r="E343" t="s">
        <v>174</v>
      </c>
      <c r="F343" s="1">
        <v>0</v>
      </c>
      <c r="G343" s="1">
        <v>583.6</v>
      </c>
      <c r="H343" s="1">
        <v>583.6</v>
      </c>
      <c r="I343" s="1">
        <v>0</v>
      </c>
      <c r="J343" s="1">
        <v>583.6</v>
      </c>
      <c r="K343" s="1">
        <v>583.6</v>
      </c>
      <c r="L343" s="1">
        <v>0</v>
      </c>
      <c r="M343" s="1">
        <v>602.42999999999995</v>
      </c>
      <c r="N343" s="1">
        <v>602.42999999999995</v>
      </c>
      <c r="O343" s="1">
        <v>0</v>
      </c>
      <c r="P343" s="1">
        <v>583.6</v>
      </c>
      <c r="Q343" s="1">
        <v>583.6</v>
      </c>
      <c r="R343" s="1">
        <v>0</v>
      </c>
      <c r="S343" s="1">
        <v>583.6</v>
      </c>
      <c r="T343" s="1">
        <v>583.6</v>
      </c>
      <c r="U343" s="1">
        <v>0</v>
      </c>
      <c r="V343" s="1">
        <v>583.6</v>
      </c>
      <c r="W343" s="1">
        <v>583.6</v>
      </c>
      <c r="X343" s="1">
        <v>0</v>
      </c>
      <c r="Y343" s="1">
        <v>3520.43</v>
      </c>
      <c r="Z343" s="1">
        <v>583.6</v>
      </c>
    </row>
    <row r="344" spans="1:26" x14ac:dyDescent="0.35">
      <c r="A344">
        <v>342</v>
      </c>
      <c r="B344">
        <v>4003</v>
      </c>
      <c r="C344" t="s">
        <v>237</v>
      </c>
      <c r="D344">
        <v>942741</v>
      </c>
      <c r="E344" t="s">
        <v>183</v>
      </c>
      <c r="F344" s="1">
        <v>0</v>
      </c>
      <c r="G344" s="1">
        <v>100</v>
      </c>
      <c r="H344" s="1">
        <v>100</v>
      </c>
      <c r="I344" s="1">
        <v>0</v>
      </c>
      <c r="J344" s="1">
        <v>100</v>
      </c>
      <c r="K344" s="1">
        <v>100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100</v>
      </c>
      <c r="T344" s="1">
        <v>100</v>
      </c>
      <c r="U344" s="1">
        <v>0</v>
      </c>
      <c r="V344" s="1">
        <v>0</v>
      </c>
      <c r="W344" s="1">
        <v>0</v>
      </c>
      <c r="X344" s="1">
        <v>0</v>
      </c>
      <c r="Y344" s="1">
        <v>300</v>
      </c>
      <c r="Z344" s="1">
        <v>100</v>
      </c>
    </row>
    <row r="345" spans="1:26" x14ac:dyDescent="0.35">
      <c r="A345">
        <v>343</v>
      </c>
      <c r="B345">
        <v>4003</v>
      </c>
      <c r="C345" t="s">
        <v>237</v>
      </c>
      <c r="D345">
        <v>942751</v>
      </c>
      <c r="E345" t="s">
        <v>231</v>
      </c>
      <c r="F345" s="1">
        <v>0</v>
      </c>
      <c r="G345" s="1">
        <v>1072.76</v>
      </c>
      <c r="H345" s="1">
        <v>1072.76</v>
      </c>
      <c r="I345" s="1">
        <v>0</v>
      </c>
      <c r="J345" s="1">
        <v>1072.76</v>
      </c>
      <c r="K345" s="1">
        <v>1072.76</v>
      </c>
      <c r="L345" s="1">
        <v>0</v>
      </c>
      <c r="M345" s="1">
        <v>1090.07</v>
      </c>
      <c r="N345" s="1">
        <v>1090.07</v>
      </c>
      <c r="O345" s="1">
        <v>0</v>
      </c>
      <c r="P345" s="1">
        <v>1083.79</v>
      </c>
      <c r="Q345" s="1">
        <v>1083.79</v>
      </c>
      <c r="R345" s="1">
        <v>0</v>
      </c>
      <c r="S345" s="1">
        <v>194.53</v>
      </c>
      <c r="T345" s="1">
        <v>194.53</v>
      </c>
      <c r="U345" s="1">
        <v>0</v>
      </c>
      <c r="V345" s="1">
        <v>194.53</v>
      </c>
      <c r="W345" s="1">
        <v>194.53</v>
      </c>
      <c r="X345" s="1">
        <v>0</v>
      </c>
      <c r="Y345" s="1">
        <v>4708.4399999999996</v>
      </c>
      <c r="Z345" s="1">
        <v>1072.76</v>
      </c>
    </row>
    <row r="346" spans="1:26" x14ac:dyDescent="0.35">
      <c r="A346">
        <v>344</v>
      </c>
      <c r="B346">
        <v>4003</v>
      </c>
      <c r="C346" t="s">
        <v>237</v>
      </c>
      <c r="D346">
        <v>942811</v>
      </c>
      <c r="E346" t="s">
        <v>238</v>
      </c>
      <c r="F346" s="1">
        <v>0</v>
      </c>
      <c r="G346" s="1">
        <v>13500</v>
      </c>
      <c r="H346" s="1">
        <v>13500</v>
      </c>
      <c r="I346" s="1">
        <v>0</v>
      </c>
      <c r="J346" s="1">
        <v>13500</v>
      </c>
      <c r="K346" s="1">
        <v>13500</v>
      </c>
      <c r="L346" s="1">
        <v>0</v>
      </c>
      <c r="M346" s="1">
        <v>13500</v>
      </c>
      <c r="N346" s="1">
        <v>13500</v>
      </c>
      <c r="O346" s="1">
        <v>0</v>
      </c>
      <c r="P346" s="1">
        <v>13500</v>
      </c>
      <c r="Q346" s="1">
        <v>13500</v>
      </c>
      <c r="R346" s="1">
        <v>0</v>
      </c>
      <c r="S346" s="1">
        <v>13500</v>
      </c>
      <c r="T346" s="1">
        <v>13500</v>
      </c>
      <c r="U346" s="1">
        <v>0</v>
      </c>
      <c r="V346" s="1">
        <v>13500</v>
      </c>
      <c r="W346" s="1">
        <v>13500</v>
      </c>
      <c r="X346" s="1">
        <v>0</v>
      </c>
      <c r="Y346" s="1">
        <v>81000</v>
      </c>
      <c r="Z346" s="1">
        <v>13500</v>
      </c>
    </row>
    <row r="347" spans="1:26" x14ac:dyDescent="0.35">
      <c r="A347">
        <v>345</v>
      </c>
      <c r="B347">
        <v>4003</v>
      </c>
      <c r="C347" t="s">
        <v>237</v>
      </c>
      <c r="D347">
        <v>942911</v>
      </c>
      <c r="E347" t="s">
        <v>232</v>
      </c>
      <c r="F347" s="1">
        <v>0</v>
      </c>
      <c r="G347" s="1">
        <v>840.57</v>
      </c>
      <c r="H347" s="1">
        <v>840.57</v>
      </c>
      <c r="I347" s="1">
        <v>0</v>
      </c>
      <c r="J347" s="1">
        <v>840.57</v>
      </c>
      <c r="K347" s="1">
        <v>840.57</v>
      </c>
      <c r="L347" s="1">
        <v>0</v>
      </c>
      <c r="M347" s="1">
        <v>867.69</v>
      </c>
      <c r="N347" s="1">
        <v>867.69</v>
      </c>
      <c r="O347" s="1">
        <v>0</v>
      </c>
      <c r="P347" s="1">
        <v>840.57</v>
      </c>
      <c r="Q347" s="1">
        <v>840.57</v>
      </c>
      <c r="R347" s="1">
        <v>0</v>
      </c>
      <c r="S347" s="1">
        <v>840.57</v>
      </c>
      <c r="T347" s="1">
        <v>840.57</v>
      </c>
      <c r="U347" s="1">
        <v>0</v>
      </c>
      <c r="V347" s="1">
        <v>840.57</v>
      </c>
      <c r="W347" s="1">
        <v>840.57</v>
      </c>
      <c r="X347" s="1">
        <v>0</v>
      </c>
      <c r="Y347" s="1">
        <v>5070.54</v>
      </c>
      <c r="Z347" s="1">
        <v>840.57</v>
      </c>
    </row>
    <row r="348" spans="1:26" x14ac:dyDescent="0.35">
      <c r="A348">
        <v>346</v>
      </c>
      <c r="B348">
        <v>4003</v>
      </c>
      <c r="C348" t="s">
        <v>237</v>
      </c>
      <c r="D348">
        <v>943111</v>
      </c>
      <c r="E348" t="s">
        <v>186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12.71</v>
      </c>
      <c r="T348" s="1">
        <v>12.71</v>
      </c>
      <c r="U348" s="1">
        <v>0</v>
      </c>
      <c r="V348" s="1">
        <v>0</v>
      </c>
      <c r="W348" s="1">
        <v>0</v>
      </c>
      <c r="X348" s="1">
        <v>0</v>
      </c>
      <c r="Y348" s="1">
        <v>12.71</v>
      </c>
      <c r="Z348" s="1">
        <v>0</v>
      </c>
    </row>
    <row r="349" spans="1:26" x14ac:dyDescent="0.35">
      <c r="A349">
        <v>347</v>
      </c>
      <c r="B349">
        <v>4003</v>
      </c>
      <c r="C349" t="s">
        <v>237</v>
      </c>
      <c r="D349">
        <v>943112</v>
      </c>
      <c r="E349" t="s">
        <v>125</v>
      </c>
      <c r="F349" s="1">
        <v>0</v>
      </c>
      <c r="G349" s="1">
        <v>3240</v>
      </c>
      <c r="H349" s="1">
        <v>3240</v>
      </c>
      <c r="I349" s="1">
        <v>0</v>
      </c>
      <c r="J349" s="1">
        <v>2520</v>
      </c>
      <c r="K349" s="1">
        <v>2520</v>
      </c>
      <c r="L349" s="1">
        <v>0</v>
      </c>
      <c r="M349" s="1">
        <v>2280</v>
      </c>
      <c r="N349" s="1">
        <v>2280</v>
      </c>
      <c r="O349" s="1">
        <v>0</v>
      </c>
      <c r="P349" s="1">
        <v>2160</v>
      </c>
      <c r="Q349" s="1">
        <v>2160</v>
      </c>
      <c r="R349" s="1">
        <v>0</v>
      </c>
      <c r="S349" s="1">
        <v>2280</v>
      </c>
      <c r="T349" s="1">
        <v>2280</v>
      </c>
      <c r="U349" s="1">
        <v>0</v>
      </c>
      <c r="V349" s="1">
        <v>3120</v>
      </c>
      <c r="W349" s="1">
        <v>3120</v>
      </c>
      <c r="X349" s="1">
        <v>0</v>
      </c>
      <c r="Y349" s="1">
        <v>15600</v>
      </c>
      <c r="Z349" s="1">
        <v>3240</v>
      </c>
    </row>
    <row r="350" spans="1:26" x14ac:dyDescent="0.35">
      <c r="A350">
        <v>348</v>
      </c>
      <c r="B350">
        <v>4003</v>
      </c>
      <c r="C350" t="s">
        <v>237</v>
      </c>
      <c r="D350">
        <v>943121</v>
      </c>
      <c r="E350" t="s">
        <v>196</v>
      </c>
      <c r="F350" s="1">
        <v>0</v>
      </c>
      <c r="G350" s="1">
        <v>65.22</v>
      </c>
      <c r="H350" s="1">
        <v>65.22</v>
      </c>
      <c r="I350" s="1">
        <v>0</v>
      </c>
      <c r="J350" s="1">
        <v>0</v>
      </c>
      <c r="K350" s="1">
        <v>0</v>
      </c>
      <c r="L350" s="1">
        <v>0</v>
      </c>
      <c r="M350" s="1">
        <v>25.42</v>
      </c>
      <c r="N350" s="1">
        <v>25.42</v>
      </c>
      <c r="O350" s="1">
        <v>0</v>
      </c>
      <c r="P350" s="1">
        <v>14.49</v>
      </c>
      <c r="Q350" s="1">
        <v>14.49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105.13</v>
      </c>
      <c r="Z350" s="1">
        <v>65.22</v>
      </c>
    </row>
    <row r="351" spans="1:26" x14ac:dyDescent="0.35">
      <c r="A351">
        <v>349</v>
      </c>
      <c r="B351">
        <v>4003</v>
      </c>
      <c r="C351" t="s">
        <v>237</v>
      </c>
      <c r="D351">
        <v>943211</v>
      </c>
      <c r="E351" t="s">
        <v>239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4839.79</v>
      </c>
      <c r="T351" s="1">
        <v>4839.79</v>
      </c>
      <c r="U351" s="1">
        <v>0</v>
      </c>
      <c r="V351" s="1">
        <v>0</v>
      </c>
      <c r="W351" s="1">
        <v>0</v>
      </c>
      <c r="X351" s="1">
        <v>0</v>
      </c>
      <c r="Y351" s="1">
        <v>4839.79</v>
      </c>
      <c r="Z351" s="1">
        <v>0</v>
      </c>
    </row>
    <row r="352" spans="1:26" x14ac:dyDescent="0.35">
      <c r="A352">
        <v>350</v>
      </c>
      <c r="B352">
        <v>4003</v>
      </c>
      <c r="C352" t="s">
        <v>237</v>
      </c>
      <c r="D352">
        <v>943221</v>
      </c>
      <c r="E352" t="s">
        <v>240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3097.83</v>
      </c>
      <c r="T352" s="1">
        <v>3097.83</v>
      </c>
      <c r="U352" s="1">
        <v>0</v>
      </c>
      <c r="V352" s="1">
        <v>0</v>
      </c>
      <c r="W352" s="1">
        <v>0</v>
      </c>
      <c r="X352" s="1">
        <v>0</v>
      </c>
      <c r="Y352" s="1">
        <v>3097.83</v>
      </c>
      <c r="Z352" s="1">
        <v>0</v>
      </c>
    </row>
    <row r="353" spans="1:26" x14ac:dyDescent="0.35">
      <c r="A353">
        <v>351</v>
      </c>
      <c r="B353">
        <v>4003</v>
      </c>
      <c r="C353" t="s">
        <v>237</v>
      </c>
      <c r="D353">
        <v>943291</v>
      </c>
      <c r="E353" t="s">
        <v>241</v>
      </c>
      <c r="F353" s="1">
        <v>0</v>
      </c>
      <c r="G353" s="1">
        <v>0</v>
      </c>
      <c r="H353" s="1">
        <v>0</v>
      </c>
      <c r="I353" s="1">
        <v>0</v>
      </c>
      <c r="J353" s="1">
        <v>1098</v>
      </c>
      <c r="K353" s="1">
        <v>1098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1098</v>
      </c>
      <c r="Z353" s="1">
        <v>0</v>
      </c>
    </row>
    <row r="354" spans="1:26" x14ac:dyDescent="0.35">
      <c r="A354">
        <v>352</v>
      </c>
      <c r="B354">
        <v>4003</v>
      </c>
      <c r="C354" t="s">
        <v>237</v>
      </c>
      <c r="D354">
        <v>943431</v>
      </c>
      <c r="E354" t="s">
        <v>165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2280</v>
      </c>
      <c r="Q354" s="1">
        <v>2280</v>
      </c>
      <c r="R354" s="1">
        <v>0</v>
      </c>
      <c r="S354" s="1">
        <v>0</v>
      </c>
      <c r="T354" s="1">
        <v>0</v>
      </c>
      <c r="U354" s="1">
        <v>0</v>
      </c>
      <c r="V354" s="1">
        <v>2956.72</v>
      </c>
      <c r="W354" s="1">
        <v>2956.72</v>
      </c>
      <c r="X354" s="1">
        <v>0</v>
      </c>
      <c r="Y354" s="1">
        <v>5236.72</v>
      </c>
      <c r="Z354" s="1">
        <v>0</v>
      </c>
    </row>
    <row r="355" spans="1:26" x14ac:dyDescent="0.35">
      <c r="A355">
        <v>353</v>
      </c>
      <c r="B355">
        <v>4003</v>
      </c>
      <c r="C355" t="s">
        <v>237</v>
      </c>
      <c r="D355">
        <v>943561</v>
      </c>
      <c r="E355" t="s">
        <v>127</v>
      </c>
      <c r="F355" s="1">
        <v>0</v>
      </c>
      <c r="G355" s="1">
        <v>8249.76</v>
      </c>
      <c r="H355" s="1">
        <v>8249.76</v>
      </c>
      <c r="I355" s="1">
        <v>0</v>
      </c>
      <c r="J355" s="1">
        <v>6955.94</v>
      </c>
      <c r="K355" s="1">
        <v>6955.94</v>
      </c>
      <c r="L355" s="1">
        <v>0</v>
      </c>
      <c r="M355" s="1">
        <v>7010.97</v>
      </c>
      <c r="N355" s="1">
        <v>7010.97</v>
      </c>
      <c r="O355" s="1">
        <v>0</v>
      </c>
      <c r="P355" s="1">
        <v>7054.97</v>
      </c>
      <c r="Q355" s="1">
        <v>7054.97</v>
      </c>
      <c r="R355" s="1">
        <v>0</v>
      </c>
      <c r="S355" s="1">
        <v>6980.77</v>
      </c>
      <c r="T355" s="1">
        <v>6980.77</v>
      </c>
      <c r="U355" s="1">
        <v>0</v>
      </c>
      <c r="V355" s="1">
        <v>1508.14</v>
      </c>
      <c r="W355" s="1">
        <v>1508.14</v>
      </c>
      <c r="X355" s="1">
        <v>0</v>
      </c>
      <c r="Y355" s="1">
        <v>37760.550000000003</v>
      </c>
      <c r="Z355" s="1">
        <v>8249.76</v>
      </c>
    </row>
    <row r="356" spans="1:26" x14ac:dyDescent="0.35">
      <c r="A356">
        <v>354</v>
      </c>
      <c r="B356">
        <v>4003</v>
      </c>
      <c r="C356" t="s">
        <v>237</v>
      </c>
      <c r="D356">
        <v>943611</v>
      </c>
      <c r="E356" t="s">
        <v>140</v>
      </c>
      <c r="F356" s="1">
        <v>0</v>
      </c>
      <c r="G356" s="1">
        <v>139.80000000000001</v>
      </c>
      <c r="H356" s="1">
        <v>139.80000000000001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319.41000000000003</v>
      </c>
      <c r="Q356" s="1">
        <v>319.41000000000003</v>
      </c>
      <c r="R356" s="1">
        <v>0</v>
      </c>
      <c r="S356" s="1">
        <v>103.1</v>
      </c>
      <c r="T356" s="1">
        <v>103.1</v>
      </c>
      <c r="U356" s="1">
        <v>0</v>
      </c>
      <c r="V356" s="1">
        <v>85</v>
      </c>
      <c r="W356" s="1">
        <v>85</v>
      </c>
      <c r="X356" s="1">
        <v>0</v>
      </c>
      <c r="Y356" s="1">
        <v>647.30999999999995</v>
      </c>
      <c r="Z356" s="1">
        <v>139.80000000000001</v>
      </c>
    </row>
    <row r="357" spans="1:26" x14ac:dyDescent="0.35">
      <c r="A357">
        <v>355</v>
      </c>
      <c r="B357">
        <v>4003</v>
      </c>
      <c r="C357" t="s">
        <v>237</v>
      </c>
      <c r="D357">
        <v>943641</v>
      </c>
      <c r="E357" t="s">
        <v>242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967</v>
      </c>
      <c r="Q357" s="1">
        <v>967</v>
      </c>
      <c r="R357" s="1">
        <v>0</v>
      </c>
      <c r="S357" s="1">
        <v>92.37</v>
      </c>
      <c r="T357" s="1">
        <v>92.37</v>
      </c>
      <c r="U357" s="1">
        <v>0</v>
      </c>
      <c r="V357" s="1">
        <v>92.37</v>
      </c>
      <c r="W357" s="1">
        <v>92.37</v>
      </c>
      <c r="X357" s="1">
        <v>0</v>
      </c>
      <c r="Y357" s="1">
        <v>1151.74</v>
      </c>
      <c r="Z357" s="1">
        <v>0</v>
      </c>
    </row>
    <row r="358" spans="1:26" x14ac:dyDescent="0.35">
      <c r="A358">
        <v>356</v>
      </c>
      <c r="B358">
        <v>4003</v>
      </c>
      <c r="C358" t="s">
        <v>237</v>
      </c>
      <c r="D358">
        <v>943651</v>
      </c>
      <c r="E358" t="s">
        <v>190</v>
      </c>
      <c r="F358" s="1">
        <v>0</v>
      </c>
      <c r="G358" s="1">
        <v>720.75</v>
      </c>
      <c r="H358" s="1">
        <v>720.75</v>
      </c>
      <c r="I358" s="1">
        <v>0</v>
      </c>
      <c r="J358" s="1">
        <v>720.75</v>
      </c>
      <c r="K358" s="1">
        <v>720.75</v>
      </c>
      <c r="L358" s="1">
        <v>0</v>
      </c>
      <c r="M358" s="1">
        <v>720.75</v>
      </c>
      <c r="N358" s="1">
        <v>720.75</v>
      </c>
      <c r="O358" s="1">
        <v>0</v>
      </c>
      <c r="P358" s="1">
        <v>0</v>
      </c>
      <c r="Q358" s="1">
        <v>0</v>
      </c>
      <c r="R358" s="1">
        <v>0</v>
      </c>
      <c r="S358" s="1">
        <v>796.94</v>
      </c>
      <c r="T358" s="1">
        <v>796.94</v>
      </c>
      <c r="U358" s="1">
        <v>0</v>
      </c>
      <c r="V358" s="1">
        <v>796.94</v>
      </c>
      <c r="W358" s="1">
        <v>796.94</v>
      </c>
      <c r="X358" s="1">
        <v>0</v>
      </c>
      <c r="Y358" s="1">
        <v>3756.13</v>
      </c>
      <c r="Z358" s="1">
        <v>720.75</v>
      </c>
    </row>
    <row r="359" spans="1:26" x14ac:dyDescent="0.35">
      <c r="A359">
        <v>357</v>
      </c>
      <c r="B359">
        <v>4003</v>
      </c>
      <c r="C359" t="s">
        <v>237</v>
      </c>
      <c r="D359">
        <v>943911</v>
      </c>
      <c r="E359" t="s">
        <v>176</v>
      </c>
      <c r="F359" s="1">
        <v>0</v>
      </c>
      <c r="G359" s="1">
        <v>1265.42</v>
      </c>
      <c r="H359" s="1">
        <v>1265.42</v>
      </c>
      <c r="I359" s="1">
        <v>0</v>
      </c>
      <c r="J359" s="1">
        <v>2105.25</v>
      </c>
      <c r="K359" s="1">
        <v>2105.25</v>
      </c>
      <c r="L359" s="1">
        <v>0</v>
      </c>
      <c r="M359" s="1">
        <v>1466.18</v>
      </c>
      <c r="N359" s="1">
        <v>1466.18</v>
      </c>
      <c r="O359" s="1">
        <v>0</v>
      </c>
      <c r="P359" s="1">
        <v>2865.91</v>
      </c>
      <c r="Q359" s="1">
        <v>2865.91</v>
      </c>
      <c r="R359" s="1">
        <v>0</v>
      </c>
      <c r="S359" s="1">
        <v>1744.14</v>
      </c>
      <c r="T359" s="1">
        <v>1744.14</v>
      </c>
      <c r="U359" s="1">
        <v>0</v>
      </c>
      <c r="V359" s="1">
        <v>6741.35</v>
      </c>
      <c r="W359" s="1">
        <v>6741.35</v>
      </c>
      <c r="X359" s="1">
        <v>0</v>
      </c>
      <c r="Y359" s="1">
        <v>16188.25</v>
      </c>
      <c r="Z359" s="1">
        <v>1265.42</v>
      </c>
    </row>
    <row r="360" spans="1:26" x14ac:dyDescent="0.35">
      <c r="A360">
        <v>358</v>
      </c>
      <c r="B360">
        <v>4003</v>
      </c>
      <c r="C360" t="s">
        <v>237</v>
      </c>
      <c r="D360">
        <v>944121</v>
      </c>
      <c r="E360" t="s">
        <v>243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</row>
    <row r="361" spans="1:26" x14ac:dyDescent="0.35">
      <c r="A361">
        <v>359</v>
      </c>
      <c r="B361">
        <v>4003</v>
      </c>
      <c r="C361" t="s">
        <v>237</v>
      </c>
      <c r="D361">
        <v>944311</v>
      </c>
      <c r="E361" t="s">
        <v>244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1772.96</v>
      </c>
      <c r="Q361" s="1">
        <v>1772.96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1772.96</v>
      </c>
      <c r="Z361" s="1">
        <v>0</v>
      </c>
    </row>
    <row r="362" spans="1:26" x14ac:dyDescent="0.35">
      <c r="A362">
        <v>360</v>
      </c>
      <c r="B362">
        <v>4003</v>
      </c>
      <c r="C362" t="s">
        <v>237</v>
      </c>
      <c r="D362">
        <v>944331</v>
      </c>
      <c r="E362" t="s">
        <v>191</v>
      </c>
      <c r="F362" s="1">
        <v>0</v>
      </c>
      <c r="G362" s="1">
        <v>0</v>
      </c>
      <c r="H362" s="1">
        <v>0</v>
      </c>
      <c r="I362" s="1">
        <v>0</v>
      </c>
      <c r="J362" s="1">
        <v>2904.55</v>
      </c>
      <c r="K362" s="1">
        <v>2904.55</v>
      </c>
      <c r="L362" s="1">
        <v>0</v>
      </c>
      <c r="M362" s="1">
        <v>713.68</v>
      </c>
      <c r="N362" s="1">
        <v>713.68</v>
      </c>
      <c r="O362" s="1">
        <v>0</v>
      </c>
      <c r="P362" s="1">
        <v>2202.96</v>
      </c>
      <c r="Q362" s="1">
        <v>2202.96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5821.19</v>
      </c>
      <c r="Z362" s="1">
        <v>0</v>
      </c>
    </row>
    <row r="363" spans="1:26" x14ac:dyDescent="0.35">
      <c r="A363">
        <v>361</v>
      </c>
      <c r="B363">
        <v>4003</v>
      </c>
      <c r="C363" t="s">
        <v>237</v>
      </c>
      <c r="D363">
        <v>944431</v>
      </c>
      <c r="E363" t="s">
        <v>241</v>
      </c>
      <c r="F363" s="1">
        <v>0</v>
      </c>
      <c r="G363" s="1">
        <v>0</v>
      </c>
      <c r="H363" s="1">
        <v>0</v>
      </c>
      <c r="I363" s="1">
        <v>0</v>
      </c>
      <c r="J363" s="1">
        <v>55048.95</v>
      </c>
      <c r="K363" s="1">
        <v>55048.95</v>
      </c>
      <c r="L363" s="1">
        <v>0</v>
      </c>
      <c r="M363" s="1">
        <v>-55048.95</v>
      </c>
      <c r="N363" s="1">
        <v>-55048.95</v>
      </c>
      <c r="O363" s="1">
        <v>0</v>
      </c>
      <c r="P363" s="1">
        <v>69300</v>
      </c>
      <c r="Q363" s="1">
        <v>69300</v>
      </c>
      <c r="R363" s="1">
        <v>0</v>
      </c>
      <c r="S363" s="1">
        <v>-69300</v>
      </c>
      <c r="T363" s="1">
        <v>-69300</v>
      </c>
      <c r="U363" s="1">
        <v>0</v>
      </c>
      <c r="V363" s="1">
        <v>2332.15</v>
      </c>
      <c r="W363" s="1">
        <v>2332.15</v>
      </c>
      <c r="X363" s="1">
        <v>0</v>
      </c>
      <c r="Y363" s="1">
        <v>2332.15</v>
      </c>
      <c r="Z363" s="1">
        <v>0</v>
      </c>
    </row>
    <row r="364" spans="1:26" x14ac:dyDescent="0.35">
      <c r="A364">
        <v>362</v>
      </c>
      <c r="B364">
        <v>4003</v>
      </c>
      <c r="C364" t="s">
        <v>237</v>
      </c>
      <c r="D364">
        <v>945111</v>
      </c>
      <c r="E364" t="s">
        <v>192</v>
      </c>
      <c r="F364" s="1">
        <v>0</v>
      </c>
      <c r="G364" s="1">
        <v>504.76</v>
      </c>
      <c r="H364" s="1">
        <v>504.76</v>
      </c>
      <c r="I364" s="1">
        <v>0</v>
      </c>
      <c r="J364" s="1">
        <v>1082.1500000000001</v>
      </c>
      <c r="K364" s="1">
        <v>1082.1500000000001</v>
      </c>
      <c r="L364" s="1">
        <v>0</v>
      </c>
      <c r="M364" s="1">
        <v>862.18</v>
      </c>
      <c r="N364" s="1">
        <v>862.18</v>
      </c>
      <c r="O364" s="1">
        <v>0</v>
      </c>
      <c r="P364" s="1">
        <v>283.56</v>
      </c>
      <c r="Q364" s="1">
        <v>283.56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2732.65</v>
      </c>
      <c r="Z364" s="1">
        <v>504.76</v>
      </c>
    </row>
    <row r="365" spans="1:26" x14ac:dyDescent="0.35">
      <c r="A365">
        <v>363</v>
      </c>
      <c r="B365">
        <v>4003</v>
      </c>
      <c r="C365" t="s">
        <v>237</v>
      </c>
      <c r="D365">
        <v>945411</v>
      </c>
      <c r="E365" t="s">
        <v>245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569.79999999999995</v>
      </c>
      <c r="N365" s="1">
        <v>569.79999999999995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569.79999999999995</v>
      </c>
      <c r="Z365" s="1">
        <v>0</v>
      </c>
    </row>
    <row r="366" spans="1:26" x14ac:dyDescent="0.35">
      <c r="A366">
        <v>364</v>
      </c>
      <c r="B366">
        <v>4003</v>
      </c>
      <c r="C366" t="s">
        <v>237</v>
      </c>
      <c r="D366">
        <v>945911</v>
      </c>
      <c r="E366" t="s">
        <v>246</v>
      </c>
      <c r="F366" s="1">
        <v>0</v>
      </c>
      <c r="G366" s="1">
        <v>18167.48</v>
      </c>
      <c r="H366" s="1">
        <v>18167.48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1105</v>
      </c>
      <c r="T366" s="1">
        <v>1105</v>
      </c>
      <c r="U366" s="1">
        <v>0</v>
      </c>
      <c r="V366" s="1">
        <v>3510</v>
      </c>
      <c r="W366" s="1">
        <v>3510</v>
      </c>
      <c r="X366" s="1">
        <v>0</v>
      </c>
      <c r="Y366" s="1">
        <v>22782.48</v>
      </c>
      <c r="Z366" s="1">
        <v>18167.48</v>
      </c>
    </row>
    <row r="367" spans="1:26" x14ac:dyDescent="0.35">
      <c r="A367">
        <v>365</v>
      </c>
      <c r="B367">
        <v>4003</v>
      </c>
      <c r="C367" t="s">
        <v>237</v>
      </c>
      <c r="D367">
        <v>945921</v>
      </c>
      <c r="E367" t="s">
        <v>247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2112</v>
      </c>
      <c r="T367" s="1">
        <v>2112</v>
      </c>
      <c r="U367" s="1">
        <v>0</v>
      </c>
      <c r="V367" s="1">
        <v>0</v>
      </c>
      <c r="W367" s="1">
        <v>0</v>
      </c>
      <c r="X367" s="1">
        <v>0</v>
      </c>
      <c r="Y367" s="1">
        <v>2112</v>
      </c>
      <c r="Z367" s="1">
        <v>0</v>
      </c>
    </row>
    <row r="368" spans="1:26" x14ac:dyDescent="0.35">
      <c r="A368">
        <v>366</v>
      </c>
      <c r="B368">
        <v>4003</v>
      </c>
      <c r="C368" t="s">
        <v>237</v>
      </c>
      <c r="D368">
        <v>945929</v>
      </c>
      <c r="E368" t="s">
        <v>248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3526.57</v>
      </c>
      <c r="T368" s="1">
        <v>3526.57</v>
      </c>
      <c r="U368" s="1">
        <v>0</v>
      </c>
      <c r="V368" s="1">
        <v>1166.25</v>
      </c>
      <c r="W368" s="1">
        <v>1166.25</v>
      </c>
      <c r="X368" s="1">
        <v>0</v>
      </c>
      <c r="Y368" s="1">
        <v>4692.82</v>
      </c>
      <c r="Z368" s="1">
        <v>0</v>
      </c>
    </row>
    <row r="369" spans="1:26" x14ac:dyDescent="0.35">
      <c r="A369">
        <v>367</v>
      </c>
      <c r="B369">
        <v>4003</v>
      </c>
      <c r="C369" t="s">
        <v>237</v>
      </c>
      <c r="D369">
        <v>948111</v>
      </c>
      <c r="E369" t="s">
        <v>249</v>
      </c>
      <c r="F369" s="1">
        <v>0</v>
      </c>
      <c r="G369" s="1">
        <v>17.71</v>
      </c>
      <c r="H369" s="1">
        <v>17.71</v>
      </c>
      <c r="I369" s="1">
        <v>0</v>
      </c>
      <c r="J369" s="1">
        <v>17.489999999999998</v>
      </c>
      <c r="K369" s="1">
        <v>17.489999999999998</v>
      </c>
      <c r="L369" s="1">
        <v>0</v>
      </c>
      <c r="M369" s="1">
        <v>17.28</v>
      </c>
      <c r="N369" s="1">
        <v>17.28</v>
      </c>
      <c r="O369" s="1">
        <v>0</v>
      </c>
      <c r="P369" s="1">
        <v>17.059999999999999</v>
      </c>
      <c r="Q369" s="1">
        <v>17.059999999999999</v>
      </c>
      <c r="R369" s="1">
        <v>0</v>
      </c>
      <c r="S369" s="1">
        <v>17.07</v>
      </c>
      <c r="T369" s="1">
        <v>17.07</v>
      </c>
      <c r="U369" s="1">
        <v>0</v>
      </c>
      <c r="V369" s="1">
        <v>16.850000000000001</v>
      </c>
      <c r="W369" s="1">
        <v>16.850000000000001</v>
      </c>
      <c r="X369" s="1">
        <v>0</v>
      </c>
      <c r="Y369" s="1">
        <v>103.46</v>
      </c>
      <c r="Z369" s="1">
        <v>17.71</v>
      </c>
    </row>
    <row r="370" spans="1:26" x14ac:dyDescent="0.35">
      <c r="A370">
        <v>368</v>
      </c>
      <c r="B370">
        <v>4003</v>
      </c>
      <c r="C370" t="s">
        <v>237</v>
      </c>
      <c r="D370">
        <v>948411</v>
      </c>
      <c r="E370" t="s">
        <v>161</v>
      </c>
      <c r="F370" s="1">
        <v>0</v>
      </c>
      <c r="G370" s="1">
        <v>7324.53</v>
      </c>
      <c r="H370" s="1">
        <v>7324.53</v>
      </c>
      <c r="I370" s="1">
        <v>0</v>
      </c>
      <c r="J370" s="1">
        <v>7324.53</v>
      </c>
      <c r="K370" s="1">
        <v>7324.53</v>
      </c>
      <c r="L370" s="1">
        <v>0</v>
      </c>
      <c r="M370" s="1">
        <v>7324.53</v>
      </c>
      <c r="N370" s="1">
        <v>7324.53</v>
      </c>
      <c r="O370" s="1">
        <v>0</v>
      </c>
      <c r="P370" s="1">
        <v>7324.53</v>
      </c>
      <c r="Q370" s="1">
        <v>7324.53</v>
      </c>
      <c r="R370" s="1">
        <v>0</v>
      </c>
      <c r="S370" s="1">
        <v>7324.53</v>
      </c>
      <c r="T370" s="1">
        <v>7324.53</v>
      </c>
      <c r="U370" s="1">
        <v>0</v>
      </c>
      <c r="V370" s="1">
        <v>7324.53</v>
      </c>
      <c r="W370" s="1">
        <v>7324.53</v>
      </c>
      <c r="X370" s="1">
        <v>0</v>
      </c>
      <c r="Y370" s="1">
        <v>43947.18</v>
      </c>
      <c r="Z370" s="1">
        <v>7324.53</v>
      </c>
    </row>
    <row r="371" spans="1:26" x14ac:dyDescent="0.35">
      <c r="A371">
        <v>369</v>
      </c>
      <c r="B371">
        <v>4003</v>
      </c>
      <c r="C371" t="s">
        <v>237</v>
      </c>
      <c r="D371">
        <v>948412</v>
      </c>
      <c r="E371" t="s">
        <v>142</v>
      </c>
      <c r="F371" s="1">
        <v>0</v>
      </c>
      <c r="G371" s="1">
        <v>37.03</v>
      </c>
      <c r="H371" s="1">
        <v>37.03</v>
      </c>
      <c r="I371" s="1">
        <v>0</v>
      </c>
      <c r="J371" s="1">
        <v>37.020000000000003</v>
      </c>
      <c r="K371" s="1">
        <v>37.020000000000003</v>
      </c>
      <c r="L371" s="1">
        <v>0</v>
      </c>
      <c r="M371" s="1">
        <v>15.35</v>
      </c>
      <c r="N371" s="1">
        <v>15.35</v>
      </c>
      <c r="O371" s="1">
        <v>0</v>
      </c>
      <c r="P371" s="1">
        <v>15.35</v>
      </c>
      <c r="Q371" s="1">
        <v>15.35</v>
      </c>
      <c r="R371" s="1">
        <v>0</v>
      </c>
      <c r="S371" s="1">
        <v>15.35</v>
      </c>
      <c r="T371" s="1">
        <v>15.35</v>
      </c>
      <c r="U371" s="1">
        <v>0</v>
      </c>
      <c r="V371" s="1">
        <v>15.35</v>
      </c>
      <c r="W371" s="1">
        <v>15.35</v>
      </c>
      <c r="X371" s="1">
        <v>0</v>
      </c>
      <c r="Y371" s="1">
        <v>135.44999999999999</v>
      </c>
      <c r="Z371" s="1">
        <v>37.03</v>
      </c>
    </row>
    <row r="372" spans="1:26" x14ac:dyDescent="0.35">
      <c r="A372">
        <v>370</v>
      </c>
      <c r="B372">
        <v>4003</v>
      </c>
      <c r="C372" t="s">
        <v>237</v>
      </c>
      <c r="D372">
        <v>948413</v>
      </c>
      <c r="E372" t="s">
        <v>195</v>
      </c>
      <c r="F372" s="1">
        <v>0</v>
      </c>
      <c r="G372" s="1">
        <v>2376.2600000000002</v>
      </c>
      <c r="H372" s="1">
        <v>2376.2600000000002</v>
      </c>
      <c r="I372" s="1">
        <v>0</v>
      </c>
      <c r="J372" s="1">
        <v>2376.27</v>
      </c>
      <c r="K372" s="1">
        <v>2376.27</v>
      </c>
      <c r="L372" s="1">
        <v>0</v>
      </c>
      <c r="M372" s="1">
        <v>2376.2600000000002</v>
      </c>
      <c r="N372" s="1">
        <v>2376.2600000000002</v>
      </c>
      <c r="O372" s="1">
        <v>0</v>
      </c>
      <c r="P372" s="1">
        <v>2376.27</v>
      </c>
      <c r="Q372" s="1">
        <v>2376.27</v>
      </c>
      <c r="R372" s="1">
        <v>0</v>
      </c>
      <c r="S372" s="1">
        <v>2376.2600000000002</v>
      </c>
      <c r="T372" s="1">
        <v>2376.2600000000002</v>
      </c>
      <c r="U372" s="1">
        <v>0</v>
      </c>
      <c r="V372" s="1">
        <v>2376.27</v>
      </c>
      <c r="W372" s="1">
        <v>2376.27</v>
      </c>
      <c r="X372" s="1">
        <v>0</v>
      </c>
      <c r="Y372" s="1">
        <v>14257.59</v>
      </c>
      <c r="Z372" s="1">
        <v>2376.2600000000002</v>
      </c>
    </row>
    <row r="373" spans="1:26" x14ac:dyDescent="0.35">
      <c r="A373">
        <v>371</v>
      </c>
      <c r="B373">
        <v>4003</v>
      </c>
      <c r="C373" t="s">
        <v>237</v>
      </c>
      <c r="D373">
        <v>948414</v>
      </c>
      <c r="E373" t="s">
        <v>250</v>
      </c>
      <c r="F373" s="1">
        <v>0</v>
      </c>
      <c r="G373" s="1">
        <v>25.23</v>
      </c>
      <c r="H373" s="1">
        <v>25.23</v>
      </c>
      <c r="I373" s="1">
        <v>0</v>
      </c>
      <c r="J373" s="1">
        <v>25.25</v>
      </c>
      <c r="K373" s="1">
        <v>25.25</v>
      </c>
      <c r="L373" s="1">
        <v>0</v>
      </c>
      <c r="M373" s="1">
        <v>25.23</v>
      </c>
      <c r="N373" s="1">
        <v>25.23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75.709999999999994</v>
      </c>
      <c r="Z373" s="1">
        <v>25.23</v>
      </c>
    </row>
    <row r="374" spans="1:26" x14ac:dyDescent="0.35">
      <c r="A374">
        <v>372</v>
      </c>
      <c r="B374">
        <v>4003</v>
      </c>
      <c r="C374" t="s">
        <v>237</v>
      </c>
      <c r="D374">
        <v>948415</v>
      </c>
      <c r="E374" t="s">
        <v>166</v>
      </c>
      <c r="F374" s="1">
        <v>0</v>
      </c>
      <c r="G374" s="1">
        <v>844.62</v>
      </c>
      <c r="H374" s="1">
        <v>844.62</v>
      </c>
      <c r="I374" s="1">
        <v>0</v>
      </c>
      <c r="J374" s="1">
        <v>844.69</v>
      </c>
      <c r="K374" s="1">
        <v>844.69</v>
      </c>
      <c r="L374" s="1">
        <v>0</v>
      </c>
      <c r="M374" s="1">
        <v>844.62</v>
      </c>
      <c r="N374" s="1">
        <v>844.62</v>
      </c>
      <c r="O374" s="1">
        <v>0</v>
      </c>
      <c r="P374" s="1">
        <v>831.91</v>
      </c>
      <c r="Q374" s="1">
        <v>831.91</v>
      </c>
      <c r="R374" s="1">
        <v>0</v>
      </c>
      <c r="S374" s="1">
        <v>831.84</v>
      </c>
      <c r="T374" s="1">
        <v>831.84</v>
      </c>
      <c r="U374" s="1">
        <v>0</v>
      </c>
      <c r="V374" s="1">
        <v>831.91</v>
      </c>
      <c r="W374" s="1">
        <v>831.91</v>
      </c>
      <c r="X374" s="1">
        <v>0</v>
      </c>
      <c r="Y374" s="1">
        <v>5029.59</v>
      </c>
      <c r="Z374" s="1">
        <v>844.62</v>
      </c>
    </row>
    <row r="375" spans="1:26" x14ac:dyDescent="0.35">
      <c r="A375">
        <v>373</v>
      </c>
      <c r="B375">
        <v>4003</v>
      </c>
      <c r="C375" t="s">
        <v>237</v>
      </c>
      <c r="D375">
        <v>953911</v>
      </c>
      <c r="E375" t="s">
        <v>176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2345.46</v>
      </c>
      <c r="T375" s="1">
        <v>2345.46</v>
      </c>
      <c r="U375" s="1">
        <v>0</v>
      </c>
      <c r="V375" s="1">
        <v>0</v>
      </c>
      <c r="W375" s="1">
        <v>0</v>
      </c>
      <c r="X375" s="1">
        <v>0</v>
      </c>
      <c r="Y375" s="1">
        <v>2345.46</v>
      </c>
      <c r="Z375" s="1">
        <v>0</v>
      </c>
    </row>
    <row r="376" spans="1:26" x14ac:dyDescent="0.35">
      <c r="A376">
        <v>374</v>
      </c>
      <c r="B376">
        <v>4003</v>
      </c>
      <c r="C376" t="s">
        <v>237</v>
      </c>
      <c r="D376">
        <v>97611</v>
      </c>
      <c r="E376" t="s">
        <v>194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-1.41</v>
      </c>
      <c r="W376" s="1">
        <v>-1.41</v>
      </c>
      <c r="X376" s="1">
        <v>0</v>
      </c>
      <c r="Y376" s="1">
        <v>-1.41</v>
      </c>
      <c r="Z376" s="1">
        <v>0</v>
      </c>
    </row>
    <row r="377" spans="1:26" x14ac:dyDescent="0.35">
      <c r="A377">
        <v>375</v>
      </c>
      <c r="B377">
        <v>4003</v>
      </c>
      <c r="C377" t="s">
        <v>237</v>
      </c>
      <c r="D377">
        <v>925615</v>
      </c>
      <c r="E377" t="s">
        <v>144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</row>
    <row r="378" spans="1:26" x14ac:dyDescent="0.35">
      <c r="A378">
        <v>376</v>
      </c>
      <c r="B378">
        <v>4003</v>
      </c>
      <c r="C378" t="s">
        <v>237</v>
      </c>
      <c r="D378">
        <v>9421111</v>
      </c>
      <c r="E378" t="s">
        <v>197</v>
      </c>
      <c r="F378" s="1">
        <v>0</v>
      </c>
      <c r="G378" s="1">
        <v>113</v>
      </c>
      <c r="H378" s="1">
        <v>113</v>
      </c>
      <c r="I378" s="1">
        <v>0</v>
      </c>
      <c r="J378" s="1">
        <v>113</v>
      </c>
      <c r="K378" s="1">
        <v>113</v>
      </c>
      <c r="L378" s="1">
        <v>0</v>
      </c>
      <c r="M378" s="1">
        <v>3.65</v>
      </c>
      <c r="N378" s="1">
        <v>3.65</v>
      </c>
      <c r="O378" s="1">
        <v>0</v>
      </c>
      <c r="P378" s="1">
        <v>113</v>
      </c>
      <c r="Q378" s="1">
        <v>113</v>
      </c>
      <c r="R378" s="1">
        <v>0</v>
      </c>
      <c r="S378" s="1">
        <v>113</v>
      </c>
      <c r="T378" s="1">
        <v>113</v>
      </c>
      <c r="U378" s="1">
        <v>0</v>
      </c>
      <c r="V378" s="1">
        <v>113</v>
      </c>
      <c r="W378" s="1">
        <v>113</v>
      </c>
      <c r="X378" s="1">
        <v>0</v>
      </c>
      <c r="Y378" s="1">
        <v>568.65</v>
      </c>
      <c r="Z378" s="1">
        <v>113</v>
      </c>
    </row>
    <row r="379" spans="1:26" x14ac:dyDescent="0.35">
      <c r="A379">
        <v>377</v>
      </c>
      <c r="B379">
        <v>4003</v>
      </c>
      <c r="C379" t="s">
        <v>237</v>
      </c>
      <c r="D379">
        <v>942513</v>
      </c>
      <c r="E379" t="s">
        <v>251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</row>
    <row r="380" spans="1:26" x14ac:dyDescent="0.35">
      <c r="A380">
        <v>378</v>
      </c>
      <c r="B380">
        <v>4003</v>
      </c>
      <c r="C380" t="s">
        <v>237</v>
      </c>
      <c r="D380">
        <v>942514</v>
      </c>
      <c r="E380" t="s">
        <v>252</v>
      </c>
      <c r="F380" s="1">
        <v>0</v>
      </c>
      <c r="G380" s="1">
        <v>286</v>
      </c>
      <c r="H380" s="1">
        <v>286</v>
      </c>
      <c r="I380" s="1">
        <v>0</v>
      </c>
      <c r="J380" s="1">
        <v>0</v>
      </c>
      <c r="K380" s="1">
        <v>0</v>
      </c>
      <c r="L380" s="1">
        <v>0</v>
      </c>
      <c r="M380" s="1">
        <v>92</v>
      </c>
      <c r="N380" s="1">
        <v>92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378</v>
      </c>
      <c r="Z380" s="1">
        <v>286</v>
      </c>
    </row>
    <row r="381" spans="1:26" x14ac:dyDescent="0.35">
      <c r="A381">
        <v>379</v>
      </c>
      <c r="B381">
        <v>4003</v>
      </c>
      <c r="C381" t="s">
        <v>237</v>
      </c>
      <c r="D381">
        <v>943115</v>
      </c>
      <c r="E381" t="s">
        <v>202</v>
      </c>
      <c r="F381" s="1">
        <v>0</v>
      </c>
      <c r="G381" s="1">
        <v>29.48</v>
      </c>
      <c r="H381" s="1">
        <v>29.48</v>
      </c>
      <c r="I381" s="1">
        <v>0</v>
      </c>
      <c r="J381" s="1">
        <v>1656.19</v>
      </c>
      <c r="K381" s="1">
        <v>1656.19</v>
      </c>
      <c r="L381" s="1">
        <v>0</v>
      </c>
      <c r="M381" s="1">
        <v>84.39</v>
      </c>
      <c r="N381" s="1">
        <v>84.39</v>
      </c>
      <c r="O381" s="1">
        <v>0</v>
      </c>
      <c r="P381" s="1">
        <v>1450.63</v>
      </c>
      <c r="Q381" s="1">
        <v>1450.63</v>
      </c>
      <c r="R381" s="1">
        <v>0</v>
      </c>
      <c r="S381" s="1">
        <v>521.24</v>
      </c>
      <c r="T381" s="1">
        <v>521.24</v>
      </c>
      <c r="U381" s="1">
        <v>0</v>
      </c>
      <c r="V381" s="1">
        <v>468.11</v>
      </c>
      <c r="W381" s="1">
        <v>468.11</v>
      </c>
      <c r="X381" s="1">
        <v>0</v>
      </c>
      <c r="Y381" s="1">
        <v>4210.04</v>
      </c>
      <c r="Z381" s="1">
        <v>29.48</v>
      </c>
    </row>
    <row r="382" spans="1:26" x14ac:dyDescent="0.35">
      <c r="A382">
        <v>380</v>
      </c>
      <c r="B382">
        <v>4003</v>
      </c>
      <c r="C382" t="s">
        <v>237</v>
      </c>
      <c r="D382">
        <v>9431512</v>
      </c>
      <c r="E382" t="s">
        <v>233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</row>
    <row r="383" spans="1:26" x14ac:dyDescent="0.35">
      <c r="A383">
        <v>381</v>
      </c>
      <c r="B383">
        <v>4003</v>
      </c>
      <c r="C383" t="s">
        <v>237</v>
      </c>
      <c r="D383">
        <v>9432211</v>
      </c>
      <c r="E383" t="s">
        <v>253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34483.480000000003</v>
      </c>
      <c r="Q383" s="1">
        <v>34483.480000000003</v>
      </c>
      <c r="R383" s="1">
        <v>0</v>
      </c>
      <c r="S383" s="1">
        <v>3489.69</v>
      </c>
      <c r="T383" s="1">
        <v>3489.69</v>
      </c>
      <c r="U383" s="1">
        <v>0</v>
      </c>
      <c r="V383" s="1">
        <v>0</v>
      </c>
      <c r="W383" s="1">
        <v>0</v>
      </c>
      <c r="X383" s="1">
        <v>0</v>
      </c>
      <c r="Y383" s="1">
        <v>37973.17</v>
      </c>
      <c r="Z383" s="1">
        <v>0</v>
      </c>
    </row>
    <row r="384" spans="1:26" x14ac:dyDescent="0.35">
      <c r="A384">
        <v>382</v>
      </c>
      <c r="B384">
        <v>4003</v>
      </c>
      <c r="C384" t="s">
        <v>237</v>
      </c>
      <c r="D384">
        <v>9432212</v>
      </c>
      <c r="E384" t="s">
        <v>254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85.59</v>
      </c>
      <c r="N384" s="1">
        <v>85.59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243.18</v>
      </c>
      <c r="W384" s="1">
        <v>243.18</v>
      </c>
      <c r="X384" s="1">
        <v>0</v>
      </c>
      <c r="Y384" s="1">
        <v>328.77</v>
      </c>
      <c r="Z384" s="1">
        <v>0</v>
      </c>
    </row>
    <row r="385" spans="1:26" x14ac:dyDescent="0.35">
      <c r="A385">
        <v>383</v>
      </c>
      <c r="B385">
        <v>4003</v>
      </c>
      <c r="C385" t="s">
        <v>237</v>
      </c>
      <c r="D385">
        <v>9438111</v>
      </c>
      <c r="E385" t="s">
        <v>255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</row>
    <row r="386" spans="1:26" x14ac:dyDescent="0.35">
      <c r="A386">
        <v>384</v>
      </c>
      <c r="B386">
        <v>4003</v>
      </c>
      <c r="C386" t="s">
        <v>237</v>
      </c>
      <c r="D386">
        <v>943912</v>
      </c>
      <c r="E386" t="s">
        <v>256</v>
      </c>
      <c r="F386" s="1">
        <v>0</v>
      </c>
      <c r="G386" s="1">
        <v>18.73</v>
      </c>
      <c r="H386" s="1">
        <v>18.73</v>
      </c>
      <c r="I386" s="1">
        <v>0</v>
      </c>
      <c r="J386" s="1">
        <v>12.93</v>
      </c>
      <c r="K386" s="1">
        <v>12.93</v>
      </c>
      <c r="L386" s="1">
        <v>0</v>
      </c>
      <c r="M386" s="1">
        <v>36.159999999999997</v>
      </c>
      <c r="N386" s="1">
        <v>36.159999999999997</v>
      </c>
      <c r="O386" s="1">
        <v>0</v>
      </c>
      <c r="P386" s="1">
        <v>13.25</v>
      </c>
      <c r="Q386" s="1">
        <v>13.25</v>
      </c>
      <c r="R386" s="1">
        <v>0</v>
      </c>
      <c r="S386" s="1">
        <v>250.81</v>
      </c>
      <c r="T386" s="1">
        <v>250.81</v>
      </c>
      <c r="U386" s="1">
        <v>0</v>
      </c>
      <c r="V386" s="1">
        <v>59.45</v>
      </c>
      <c r="W386" s="1">
        <v>59.45</v>
      </c>
      <c r="X386" s="1">
        <v>0</v>
      </c>
      <c r="Y386" s="1">
        <v>391.33</v>
      </c>
      <c r="Z386" s="1">
        <v>18.73</v>
      </c>
    </row>
    <row r="387" spans="1:26" x14ac:dyDescent="0.35">
      <c r="A387">
        <v>385</v>
      </c>
      <c r="B387">
        <v>4003</v>
      </c>
      <c r="C387" t="s">
        <v>237</v>
      </c>
      <c r="D387">
        <v>943915</v>
      </c>
      <c r="E387" t="s">
        <v>257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</row>
    <row r="388" spans="1:26" x14ac:dyDescent="0.35">
      <c r="A388">
        <v>386</v>
      </c>
      <c r="B388">
        <v>4003</v>
      </c>
      <c r="C388" t="s">
        <v>237</v>
      </c>
      <c r="D388">
        <v>943916</v>
      </c>
      <c r="E388" t="s">
        <v>167</v>
      </c>
      <c r="F388" s="1">
        <v>0</v>
      </c>
      <c r="G388" s="1">
        <v>1196.2</v>
      </c>
      <c r="H388" s="1">
        <v>1196.2</v>
      </c>
      <c r="I388" s="1">
        <v>0</v>
      </c>
      <c r="J388" s="1">
        <v>3699.41</v>
      </c>
      <c r="K388" s="1">
        <v>3699.41</v>
      </c>
      <c r="L388" s="1">
        <v>0</v>
      </c>
      <c r="M388" s="1">
        <v>761.8</v>
      </c>
      <c r="N388" s="1">
        <v>761.8</v>
      </c>
      <c r="O388" s="1">
        <v>0</v>
      </c>
      <c r="P388" s="1">
        <v>2851.3</v>
      </c>
      <c r="Q388" s="1">
        <v>2851.3</v>
      </c>
      <c r="R388" s="1">
        <v>0</v>
      </c>
      <c r="S388" s="1">
        <v>11771.7</v>
      </c>
      <c r="T388" s="1">
        <v>11771.7</v>
      </c>
      <c r="U388" s="1">
        <v>0</v>
      </c>
      <c r="V388" s="1">
        <v>28305.43</v>
      </c>
      <c r="W388" s="1">
        <v>28305.43</v>
      </c>
      <c r="X388" s="1">
        <v>0</v>
      </c>
      <c r="Y388" s="1">
        <v>48585.84</v>
      </c>
      <c r="Z388" s="1">
        <v>1196.2</v>
      </c>
    </row>
    <row r="389" spans="1:26" x14ac:dyDescent="0.35">
      <c r="A389">
        <v>387</v>
      </c>
      <c r="B389">
        <v>4003</v>
      </c>
      <c r="C389" t="s">
        <v>237</v>
      </c>
      <c r="D389">
        <v>9456111</v>
      </c>
      <c r="E389" t="s">
        <v>201</v>
      </c>
      <c r="F389" s="1">
        <v>0</v>
      </c>
      <c r="G389" s="1">
        <v>972.46</v>
      </c>
      <c r="H389" s="1">
        <v>972.46</v>
      </c>
      <c r="I389" s="1">
        <v>0</v>
      </c>
      <c r="J389" s="1">
        <v>540.67999999999995</v>
      </c>
      <c r="K389" s="1">
        <v>540.67999999999995</v>
      </c>
      <c r="L389" s="1">
        <v>0</v>
      </c>
      <c r="M389" s="1">
        <v>0</v>
      </c>
      <c r="N389" s="1">
        <v>0</v>
      </c>
      <c r="O389" s="1">
        <v>0</v>
      </c>
      <c r="P389" s="1">
        <v>1304.4100000000001</v>
      </c>
      <c r="Q389" s="1">
        <v>1304.4100000000001</v>
      </c>
      <c r="R389" s="1">
        <v>0</v>
      </c>
      <c r="S389" s="1">
        <v>886.27</v>
      </c>
      <c r="T389" s="1">
        <v>886.27</v>
      </c>
      <c r="U389" s="1">
        <v>0</v>
      </c>
      <c r="V389" s="1">
        <v>1773.39</v>
      </c>
      <c r="W389" s="1">
        <v>1773.39</v>
      </c>
      <c r="X389" s="1">
        <v>0</v>
      </c>
      <c r="Y389" s="1">
        <v>5477.21</v>
      </c>
      <c r="Z389" s="1">
        <v>972.46</v>
      </c>
    </row>
    <row r="390" spans="1:26" x14ac:dyDescent="0.35">
      <c r="A390">
        <v>388</v>
      </c>
      <c r="B390">
        <v>4003</v>
      </c>
      <c r="C390" t="s">
        <v>237</v>
      </c>
      <c r="D390">
        <v>9456113</v>
      </c>
      <c r="E390" t="s">
        <v>144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1679.09</v>
      </c>
      <c r="W390" s="1">
        <v>1679.09</v>
      </c>
      <c r="X390" s="1">
        <v>0</v>
      </c>
      <c r="Y390" s="1">
        <v>1679.09</v>
      </c>
      <c r="Z390" s="1">
        <v>0</v>
      </c>
    </row>
    <row r="391" spans="1:26" x14ac:dyDescent="0.35">
      <c r="A391">
        <v>389</v>
      </c>
      <c r="B391">
        <v>4004</v>
      </c>
      <c r="C391" t="s">
        <v>258</v>
      </c>
      <c r="D391">
        <v>97611</v>
      </c>
      <c r="E391" t="s">
        <v>194</v>
      </c>
      <c r="F391" s="1">
        <v>0</v>
      </c>
      <c r="G391" s="1">
        <v>0</v>
      </c>
      <c r="H391" s="1">
        <v>0</v>
      </c>
      <c r="I391" s="1">
        <v>0</v>
      </c>
      <c r="J391" s="1">
        <v>0.67</v>
      </c>
      <c r="K391" s="1">
        <v>0.67</v>
      </c>
      <c r="L391" s="1">
        <v>0</v>
      </c>
      <c r="M391" s="1">
        <v>9.26</v>
      </c>
      <c r="N391" s="1">
        <v>9.26</v>
      </c>
      <c r="O391" s="1">
        <v>0</v>
      </c>
      <c r="P391" s="1">
        <v>0</v>
      </c>
      <c r="Q391" s="1">
        <v>0</v>
      </c>
      <c r="R391" s="1">
        <v>0</v>
      </c>
      <c r="S391" s="1">
        <v>53.09</v>
      </c>
      <c r="T391" s="1">
        <v>53.09</v>
      </c>
      <c r="U391" s="1">
        <v>0</v>
      </c>
      <c r="V391" s="1">
        <v>0.04</v>
      </c>
      <c r="W391" s="1">
        <v>0.04</v>
      </c>
      <c r="X391" s="1">
        <v>0</v>
      </c>
      <c r="Y391" s="1">
        <v>63.06</v>
      </c>
      <c r="Z391" s="1">
        <v>0</v>
      </c>
    </row>
    <row r="392" spans="1:26" x14ac:dyDescent="0.35">
      <c r="A392">
        <v>390</v>
      </c>
      <c r="B392">
        <v>4004</v>
      </c>
      <c r="C392" t="s">
        <v>258</v>
      </c>
      <c r="D392">
        <v>943911</v>
      </c>
      <c r="E392" t="s">
        <v>176</v>
      </c>
      <c r="F392" s="1">
        <v>0</v>
      </c>
      <c r="G392" s="1">
        <v>20.34</v>
      </c>
      <c r="H392" s="1">
        <v>20.34</v>
      </c>
      <c r="I392" s="1">
        <v>0</v>
      </c>
      <c r="J392" s="1">
        <v>103.5</v>
      </c>
      <c r="K392" s="1">
        <v>103.5</v>
      </c>
      <c r="L392" s="1">
        <v>0</v>
      </c>
      <c r="M392" s="1">
        <v>432.04</v>
      </c>
      <c r="N392" s="1">
        <v>432.04</v>
      </c>
      <c r="O392" s="1">
        <v>0</v>
      </c>
      <c r="P392" s="1">
        <v>338.69</v>
      </c>
      <c r="Q392" s="1">
        <v>338.69</v>
      </c>
      <c r="R392" s="1">
        <v>0</v>
      </c>
      <c r="S392" s="1">
        <v>371.18</v>
      </c>
      <c r="T392" s="1">
        <v>371.18</v>
      </c>
      <c r="U392" s="1">
        <v>0</v>
      </c>
      <c r="V392" s="1">
        <v>0</v>
      </c>
      <c r="W392" s="1">
        <v>0</v>
      </c>
      <c r="X392" s="1">
        <v>0</v>
      </c>
      <c r="Y392" s="1">
        <v>1265.75</v>
      </c>
      <c r="Z392" s="1">
        <v>20.34</v>
      </c>
    </row>
    <row r="393" spans="1:26" x14ac:dyDescent="0.35">
      <c r="A393">
        <v>391</v>
      </c>
      <c r="B393">
        <v>4004</v>
      </c>
      <c r="C393" t="s">
        <v>258</v>
      </c>
      <c r="D393">
        <v>944121</v>
      </c>
      <c r="E393" t="s">
        <v>243</v>
      </c>
      <c r="F393" s="1">
        <v>0</v>
      </c>
      <c r="G393" s="1">
        <v>255.45</v>
      </c>
      <c r="H393" s="1">
        <v>255.45</v>
      </c>
      <c r="I393" s="1">
        <v>0</v>
      </c>
      <c r="J393" s="1">
        <v>344.72</v>
      </c>
      <c r="K393" s="1">
        <v>344.72</v>
      </c>
      <c r="L393" s="1">
        <v>0</v>
      </c>
      <c r="M393" s="1">
        <v>309.85000000000002</v>
      </c>
      <c r="N393" s="1">
        <v>309.85000000000002</v>
      </c>
      <c r="O393" s="1">
        <v>0</v>
      </c>
      <c r="P393" s="1">
        <v>216.98</v>
      </c>
      <c r="Q393" s="1">
        <v>216.98</v>
      </c>
      <c r="R393" s="1">
        <v>0</v>
      </c>
      <c r="S393" s="1">
        <v>377.94</v>
      </c>
      <c r="T393" s="1">
        <v>377.94</v>
      </c>
      <c r="U393" s="1">
        <v>0</v>
      </c>
      <c r="V393" s="1">
        <v>312.87</v>
      </c>
      <c r="W393" s="1">
        <v>312.87</v>
      </c>
      <c r="X393" s="1">
        <v>0</v>
      </c>
      <c r="Y393" s="1">
        <v>1817.81</v>
      </c>
      <c r="Z393" s="1">
        <v>255.45</v>
      </c>
    </row>
    <row r="394" spans="1:26" x14ac:dyDescent="0.35">
      <c r="A394">
        <v>392</v>
      </c>
      <c r="B394">
        <v>4004</v>
      </c>
      <c r="C394" t="s">
        <v>258</v>
      </c>
      <c r="D394">
        <v>953111</v>
      </c>
      <c r="E394" t="s">
        <v>186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3715.86</v>
      </c>
      <c r="N394" s="1">
        <v>3715.86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3715.86</v>
      </c>
      <c r="Z394" s="1">
        <v>0</v>
      </c>
    </row>
    <row r="395" spans="1:26" x14ac:dyDescent="0.35">
      <c r="A395">
        <v>393</v>
      </c>
      <c r="B395">
        <v>4004</v>
      </c>
      <c r="C395" t="s">
        <v>258</v>
      </c>
      <c r="D395">
        <v>943912</v>
      </c>
      <c r="E395" t="s">
        <v>256</v>
      </c>
      <c r="F395" s="1">
        <v>0</v>
      </c>
      <c r="G395" s="1">
        <v>154.11000000000001</v>
      </c>
      <c r="H395" s="1">
        <v>154.11000000000001</v>
      </c>
      <c r="I395" s="1">
        <v>0</v>
      </c>
      <c r="J395" s="1">
        <v>4</v>
      </c>
      <c r="K395" s="1">
        <v>4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157.36000000000001</v>
      </c>
      <c r="T395" s="1">
        <v>157.36000000000001</v>
      </c>
      <c r="U395" s="1">
        <v>0</v>
      </c>
      <c r="V395" s="1">
        <v>154.96</v>
      </c>
      <c r="W395" s="1">
        <v>154.96</v>
      </c>
      <c r="X395" s="1">
        <v>0</v>
      </c>
      <c r="Y395" s="1">
        <v>470.43</v>
      </c>
      <c r="Z395" s="1">
        <v>154.11000000000001</v>
      </c>
    </row>
    <row r="396" spans="1:26" x14ac:dyDescent="0.35">
      <c r="A396">
        <v>394</v>
      </c>
      <c r="B396">
        <v>4004</v>
      </c>
      <c r="C396" t="s">
        <v>258</v>
      </c>
      <c r="D396">
        <v>943913</v>
      </c>
      <c r="E396" t="s">
        <v>259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103.96</v>
      </c>
      <c r="N396" s="1">
        <v>103.96</v>
      </c>
      <c r="O396" s="1">
        <v>0</v>
      </c>
      <c r="P396" s="1">
        <v>0</v>
      </c>
      <c r="Q396" s="1">
        <v>0</v>
      </c>
      <c r="R396" s="1">
        <v>0</v>
      </c>
      <c r="S396" s="1">
        <v>80.38</v>
      </c>
      <c r="T396" s="1">
        <v>80.38</v>
      </c>
      <c r="U396" s="1">
        <v>0</v>
      </c>
      <c r="V396" s="1">
        <v>464.38</v>
      </c>
      <c r="W396" s="1">
        <v>464.38</v>
      </c>
      <c r="X396" s="1">
        <v>0</v>
      </c>
      <c r="Y396" s="1">
        <v>648.72</v>
      </c>
      <c r="Z396" s="1">
        <v>0</v>
      </c>
    </row>
    <row r="397" spans="1:26" x14ac:dyDescent="0.35">
      <c r="A397">
        <v>395</v>
      </c>
      <c r="B397">
        <v>4004</v>
      </c>
      <c r="C397" t="s">
        <v>258</v>
      </c>
      <c r="D397">
        <v>943914</v>
      </c>
      <c r="E397" t="s">
        <v>260</v>
      </c>
      <c r="F397" s="1">
        <v>0</v>
      </c>
      <c r="G397" s="1">
        <v>337.23</v>
      </c>
      <c r="H397" s="1">
        <v>337.23</v>
      </c>
      <c r="I397" s="1">
        <v>0</v>
      </c>
      <c r="J397" s="1">
        <v>222.39</v>
      </c>
      <c r="K397" s="1">
        <v>222.39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1155.17</v>
      </c>
      <c r="T397" s="1">
        <v>1155.17</v>
      </c>
      <c r="U397" s="1">
        <v>0</v>
      </c>
      <c r="V397" s="1">
        <v>0</v>
      </c>
      <c r="W397" s="1">
        <v>0</v>
      </c>
      <c r="X397" s="1">
        <v>0</v>
      </c>
      <c r="Y397" s="1">
        <v>1714.79</v>
      </c>
      <c r="Z397" s="1">
        <v>337.23</v>
      </c>
    </row>
    <row r="398" spans="1:26" x14ac:dyDescent="0.35">
      <c r="A398">
        <v>396</v>
      </c>
      <c r="B398">
        <v>4005</v>
      </c>
      <c r="C398" t="s">
        <v>261</v>
      </c>
      <c r="D398">
        <v>953111</v>
      </c>
      <c r="E398" t="s">
        <v>186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601.91999999999996</v>
      </c>
      <c r="N398" s="1">
        <v>601.91999999999996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  <c r="Y398" s="1">
        <v>601.91999999999996</v>
      </c>
      <c r="Z398" s="1">
        <v>0</v>
      </c>
    </row>
    <row r="399" spans="1:26" x14ac:dyDescent="0.35">
      <c r="A399">
        <v>397</v>
      </c>
      <c r="B399">
        <v>4006</v>
      </c>
      <c r="C399" t="s">
        <v>262</v>
      </c>
      <c r="D399">
        <v>948415</v>
      </c>
      <c r="E399" t="s">
        <v>166</v>
      </c>
      <c r="F399" s="1">
        <v>0</v>
      </c>
      <c r="G399" s="1">
        <v>32.74</v>
      </c>
      <c r="H399" s="1">
        <v>32.74</v>
      </c>
      <c r="I399" s="1">
        <v>0</v>
      </c>
      <c r="J399" s="1">
        <v>32.72</v>
      </c>
      <c r="K399" s="1">
        <v>32.72</v>
      </c>
      <c r="L399" s="1">
        <v>0</v>
      </c>
      <c r="M399" s="1">
        <v>32.74</v>
      </c>
      <c r="N399" s="1">
        <v>32.74</v>
      </c>
      <c r="O399" s="1">
        <v>0</v>
      </c>
      <c r="P399" s="1">
        <v>32.72</v>
      </c>
      <c r="Q399" s="1">
        <v>32.72</v>
      </c>
      <c r="R399" s="1">
        <v>0</v>
      </c>
      <c r="S399" s="1">
        <v>32.74</v>
      </c>
      <c r="T399" s="1">
        <v>32.74</v>
      </c>
      <c r="U399" s="1">
        <v>0</v>
      </c>
      <c r="V399" s="1">
        <v>32.72</v>
      </c>
      <c r="W399" s="1">
        <v>32.72</v>
      </c>
      <c r="X399" s="1">
        <v>0</v>
      </c>
      <c r="Y399" s="1">
        <v>196.38</v>
      </c>
      <c r="Z399" s="1">
        <v>32.74</v>
      </c>
    </row>
    <row r="400" spans="1:26" x14ac:dyDescent="0.35">
      <c r="A400">
        <v>398</v>
      </c>
      <c r="B400">
        <v>4006</v>
      </c>
      <c r="C400" t="s">
        <v>262</v>
      </c>
      <c r="D400">
        <v>948412</v>
      </c>
      <c r="E400" t="s">
        <v>142</v>
      </c>
      <c r="F400" s="1">
        <v>0</v>
      </c>
      <c r="G400" s="1">
        <v>133.30000000000001</v>
      </c>
      <c r="H400" s="1">
        <v>133.30000000000001</v>
      </c>
      <c r="I400" s="1">
        <v>0</v>
      </c>
      <c r="J400" s="1">
        <v>133.27000000000001</v>
      </c>
      <c r="K400" s="1">
        <v>133.27000000000001</v>
      </c>
      <c r="L400" s="1">
        <v>0</v>
      </c>
      <c r="M400" s="1">
        <v>133.30000000000001</v>
      </c>
      <c r="N400" s="1">
        <v>133.30000000000001</v>
      </c>
      <c r="O400" s="1">
        <v>0</v>
      </c>
      <c r="P400" s="1">
        <v>133.27000000000001</v>
      </c>
      <c r="Q400" s="1">
        <v>133.27000000000001</v>
      </c>
      <c r="R400" s="1">
        <v>0</v>
      </c>
      <c r="S400" s="1">
        <v>133.30000000000001</v>
      </c>
      <c r="T400" s="1">
        <v>133.30000000000001</v>
      </c>
      <c r="U400" s="1">
        <v>0</v>
      </c>
      <c r="V400" s="1">
        <v>133.27000000000001</v>
      </c>
      <c r="W400" s="1">
        <v>133.27000000000001</v>
      </c>
      <c r="X400" s="1">
        <v>0</v>
      </c>
      <c r="Y400" s="1">
        <v>799.71</v>
      </c>
      <c r="Z400" s="1">
        <v>133.30000000000001</v>
      </c>
    </row>
    <row r="401" spans="1:26" x14ac:dyDescent="0.35">
      <c r="A401">
        <v>399</v>
      </c>
      <c r="B401">
        <v>4006</v>
      </c>
      <c r="C401" t="s">
        <v>262</v>
      </c>
      <c r="D401">
        <v>948411</v>
      </c>
      <c r="E401" t="s">
        <v>161</v>
      </c>
      <c r="F401" s="1">
        <v>0</v>
      </c>
      <c r="G401" s="1">
        <v>2144.9499999999998</v>
      </c>
      <c r="H401" s="1">
        <v>2144.9499999999998</v>
      </c>
      <c r="I401" s="1">
        <v>0</v>
      </c>
      <c r="J401" s="1">
        <v>2144.9699999999998</v>
      </c>
      <c r="K401" s="1">
        <v>2144.9699999999998</v>
      </c>
      <c r="L401" s="1">
        <v>0</v>
      </c>
      <c r="M401" s="1">
        <v>2144.96</v>
      </c>
      <c r="N401" s="1">
        <v>2144.96</v>
      </c>
      <c r="O401" s="1">
        <v>0</v>
      </c>
      <c r="P401" s="1">
        <v>2144.9699999999998</v>
      </c>
      <c r="Q401" s="1">
        <v>2144.9699999999998</v>
      </c>
      <c r="R401" s="1">
        <v>0</v>
      </c>
      <c r="S401" s="1">
        <v>2144.96</v>
      </c>
      <c r="T401" s="1">
        <v>2144.96</v>
      </c>
      <c r="U401" s="1">
        <v>0</v>
      </c>
      <c r="V401" s="1">
        <v>2144.9699999999998</v>
      </c>
      <c r="W401" s="1">
        <v>2144.9699999999998</v>
      </c>
      <c r="X401" s="1">
        <v>0</v>
      </c>
      <c r="Y401" s="1">
        <v>12869.78</v>
      </c>
      <c r="Z401" s="1">
        <v>2144.9499999999998</v>
      </c>
    </row>
    <row r="402" spans="1:26" x14ac:dyDescent="0.35">
      <c r="A402">
        <v>400</v>
      </c>
      <c r="B402">
        <v>4007</v>
      </c>
      <c r="C402" t="s">
        <v>263</v>
      </c>
      <c r="D402">
        <v>97311</v>
      </c>
      <c r="E402" t="s">
        <v>264</v>
      </c>
      <c r="F402" s="1">
        <v>0</v>
      </c>
      <c r="G402" s="1">
        <v>2542.9499999999998</v>
      </c>
      <c r="H402" s="1">
        <v>2542.9499999999998</v>
      </c>
      <c r="I402" s="1">
        <v>0</v>
      </c>
      <c r="J402" s="1">
        <v>2313.9899999999998</v>
      </c>
      <c r="K402" s="1">
        <v>2313.9899999999998</v>
      </c>
      <c r="L402" s="1">
        <v>0</v>
      </c>
      <c r="M402" s="1">
        <v>2008.49</v>
      </c>
      <c r="N402" s="1">
        <v>2008.49</v>
      </c>
      <c r="O402" s="1">
        <v>0</v>
      </c>
      <c r="P402" s="1">
        <v>4116.55</v>
      </c>
      <c r="Q402" s="1">
        <v>4116.55</v>
      </c>
      <c r="R402" s="1">
        <v>0</v>
      </c>
      <c r="S402" s="1">
        <v>4154.82</v>
      </c>
      <c r="T402" s="1">
        <v>4154.82</v>
      </c>
      <c r="U402" s="1">
        <v>0</v>
      </c>
      <c r="V402" s="1">
        <v>3823.87</v>
      </c>
      <c r="W402" s="1">
        <v>3823.87</v>
      </c>
      <c r="X402" s="1">
        <v>0</v>
      </c>
      <c r="Y402" s="1">
        <v>18960.669999999998</v>
      </c>
      <c r="Z402" s="1">
        <v>2542.9499999999998</v>
      </c>
    </row>
    <row r="403" spans="1:26" x14ac:dyDescent="0.35">
      <c r="A403">
        <v>401</v>
      </c>
      <c r="B403">
        <v>4007</v>
      </c>
      <c r="C403" t="s">
        <v>263</v>
      </c>
      <c r="D403">
        <v>97121</v>
      </c>
      <c r="E403" t="s">
        <v>265</v>
      </c>
      <c r="F403" s="1">
        <v>0</v>
      </c>
      <c r="G403" s="1">
        <v>50.88</v>
      </c>
      <c r="H403" s="1">
        <v>50.88</v>
      </c>
      <c r="I403" s="1">
        <v>0</v>
      </c>
      <c r="J403" s="1">
        <v>70.650000000000006</v>
      </c>
      <c r="K403" s="1">
        <v>70.650000000000006</v>
      </c>
      <c r="L403" s="1">
        <v>0</v>
      </c>
      <c r="M403" s="1">
        <v>6643.13</v>
      </c>
      <c r="N403" s="1">
        <v>6643.13</v>
      </c>
      <c r="O403" s="1">
        <v>0</v>
      </c>
      <c r="P403" s="1">
        <v>2353.02</v>
      </c>
      <c r="Q403" s="1">
        <v>2353.02</v>
      </c>
      <c r="R403" s="1">
        <v>0</v>
      </c>
      <c r="S403" s="1">
        <v>2113.54</v>
      </c>
      <c r="T403" s="1">
        <v>2113.54</v>
      </c>
      <c r="U403" s="1">
        <v>0</v>
      </c>
      <c r="V403" s="1">
        <v>83.46</v>
      </c>
      <c r="W403" s="1">
        <v>83.46</v>
      </c>
      <c r="X403" s="1">
        <v>0</v>
      </c>
      <c r="Y403" s="1">
        <v>11314.68</v>
      </c>
      <c r="Z403" s="1">
        <v>50.88</v>
      </c>
    </row>
    <row r="404" spans="1:26" x14ac:dyDescent="0.35">
      <c r="A404">
        <v>402</v>
      </c>
      <c r="B404">
        <v>4007</v>
      </c>
      <c r="C404" t="s">
        <v>263</v>
      </c>
      <c r="D404">
        <v>944121</v>
      </c>
      <c r="E404" t="s">
        <v>243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>
        <v>87.25</v>
      </c>
      <c r="W404" s="1">
        <v>87.25</v>
      </c>
      <c r="X404" s="1">
        <v>0</v>
      </c>
      <c r="Y404" s="1">
        <v>87.25</v>
      </c>
      <c r="Z404" s="1">
        <v>0</v>
      </c>
    </row>
    <row r="405" spans="1:26" x14ac:dyDescent="0.35">
      <c r="A405">
        <v>403</v>
      </c>
      <c r="B405">
        <v>4007</v>
      </c>
      <c r="C405" t="s">
        <v>263</v>
      </c>
      <c r="D405">
        <v>923911</v>
      </c>
      <c r="E405" t="s">
        <v>176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</row>
    <row r="406" spans="1:26" x14ac:dyDescent="0.35">
      <c r="A406">
        <v>404</v>
      </c>
      <c r="B406">
        <v>4007</v>
      </c>
      <c r="C406" t="s">
        <v>263</v>
      </c>
      <c r="D406">
        <v>97312</v>
      </c>
      <c r="E406" t="s">
        <v>266</v>
      </c>
      <c r="F406" s="1">
        <v>0</v>
      </c>
      <c r="G406" s="1">
        <v>19985.55</v>
      </c>
      <c r="H406" s="1">
        <v>19985.55</v>
      </c>
      <c r="I406" s="1">
        <v>0</v>
      </c>
      <c r="J406" s="1">
        <v>19738.419999999998</v>
      </c>
      <c r="K406" s="1">
        <v>19738.419999999998</v>
      </c>
      <c r="L406" s="1">
        <v>0</v>
      </c>
      <c r="M406" s="1">
        <v>19630.97</v>
      </c>
      <c r="N406" s="1">
        <v>19630.97</v>
      </c>
      <c r="O406" s="1">
        <v>0</v>
      </c>
      <c r="P406" s="1">
        <v>19733.05</v>
      </c>
      <c r="Q406" s="1">
        <v>19733.05</v>
      </c>
      <c r="R406" s="1">
        <v>0</v>
      </c>
      <c r="S406" s="1">
        <v>19512.77</v>
      </c>
      <c r="T406" s="1">
        <v>19512.77</v>
      </c>
      <c r="U406" s="1">
        <v>0</v>
      </c>
      <c r="V406" s="1">
        <v>19082.98</v>
      </c>
      <c r="W406" s="1">
        <v>19082.98</v>
      </c>
      <c r="X406" s="1">
        <v>0</v>
      </c>
      <c r="Y406" s="1">
        <v>117683.74</v>
      </c>
      <c r="Z406" s="1">
        <v>19985.55</v>
      </c>
    </row>
    <row r="407" spans="1:26" x14ac:dyDescent="0.35">
      <c r="A407">
        <v>405</v>
      </c>
      <c r="B407">
        <v>4007</v>
      </c>
      <c r="C407" t="s">
        <v>263</v>
      </c>
      <c r="D407">
        <v>97611</v>
      </c>
      <c r="E407" t="s">
        <v>194</v>
      </c>
      <c r="F407" s="1">
        <v>0</v>
      </c>
      <c r="G407" s="1">
        <v>-62.79</v>
      </c>
      <c r="H407" s="1">
        <v>-62.79</v>
      </c>
      <c r="I407" s="1">
        <v>0</v>
      </c>
      <c r="J407" s="1">
        <v>-18.48</v>
      </c>
      <c r="K407" s="1">
        <v>-18.48</v>
      </c>
      <c r="L407" s="1">
        <v>0</v>
      </c>
      <c r="M407" s="1">
        <v>6.11</v>
      </c>
      <c r="N407" s="1">
        <v>6.11</v>
      </c>
      <c r="O407" s="1">
        <v>0</v>
      </c>
      <c r="P407" s="1">
        <v>-347.33</v>
      </c>
      <c r="Q407" s="1">
        <v>-347.33</v>
      </c>
      <c r="R407" s="1">
        <v>0</v>
      </c>
      <c r="S407" s="1">
        <v>85.09</v>
      </c>
      <c r="T407" s="1">
        <v>85.09</v>
      </c>
      <c r="U407" s="1">
        <v>0</v>
      </c>
      <c r="V407" s="1">
        <v>2.4300000000000002</v>
      </c>
      <c r="W407" s="1">
        <v>2.4300000000000002</v>
      </c>
      <c r="X407" s="1">
        <v>0</v>
      </c>
      <c r="Y407" s="1">
        <v>-334.97</v>
      </c>
      <c r="Z407" s="1">
        <v>-62.79</v>
      </c>
    </row>
    <row r="408" spans="1:26" x14ac:dyDescent="0.35">
      <c r="A408">
        <v>406</v>
      </c>
      <c r="B408">
        <v>4007</v>
      </c>
      <c r="C408" t="s">
        <v>263</v>
      </c>
      <c r="D408">
        <v>97711</v>
      </c>
      <c r="E408" t="s">
        <v>267</v>
      </c>
      <c r="F408" s="1">
        <v>0</v>
      </c>
      <c r="G408" s="1">
        <v>100627.15</v>
      </c>
      <c r="H408" s="1">
        <v>100627.15</v>
      </c>
      <c r="I408" s="1">
        <v>0</v>
      </c>
      <c r="J408" s="1">
        <v>99382.84</v>
      </c>
      <c r="K408" s="1">
        <v>99382.84</v>
      </c>
      <c r="L408" s="1">
        <v>0</v>
      </c>
      <c r="M408" s="1">
        <v>98841.83</v>
      </c>
      <c r="N408" s="1">
        <v>98841.83</v>
      </c>
      <c r="O408" s="1">
        <v>0</v>
      </c>
      <c r="P408" s="1">
        <v>99355.79</v>
      </c>
      <c r="Q408" s="1">
        <v>99355.79</v>
      </c>
      <c r="R408" s="1">
        <v>0</v>
      </c>
      <c r="S408" s="1">
        <v>98246.73</v>
      </c>
      <c r="T408" s="1">
        <v>98246.73</v>
      </c>
      <c r="U408" s="1">
        <v>0</v>
      </c>
      <c r="V408" s="1">
        <v>96082.7</v>
      </c>
      <c r="W408" s="1">
        <v>96082.7</v>
      </c>
      <c r="X408" s="1">
        <v>0</v>
      </c>
      <c r="Y408" s="1">
        <v>592537.04</v>
      </c>
      <c r="Z408" s="1">
        <v>100627.15</v>
      </c>
    </row>
    <row r="409" spans="1:26" x14ac:dyDescent="0.35">
      <c r="A409">
        <v>407</v>
      </c>
      <c r="B409">
        <v>4007</v>
      </c>
      <c r="C409" t="s">
        <v>263</v>
      </c>
      <c r="D409">
        <v>943115</v>
      </c>
      <c r="E409" t="s">
        <v>202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115.08</v>
      </c>
      <c r="Q409" s="1">
        <v>115.08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115.08</v>
      </c>
      <c r="Z409" s="1">
        <v>0</v>
      </c>
    </row>
    <row r="410" spans="1:26" x14ac:dyDescent="0.35">
      <c r="A410">
        <v>408</v>
      </c>
      <c r="B410">
        <v>4008</v>
      </c>
      <c r="C410" t="s">
        <v>268</v>
      </c>
      <c r="D410">
        <v>953111</v>
      </c>
      <c r="E410" t="s">
        <v>186</v>
      </c>
      <c r="F410" s="1">
        <v>0</v>
      </c>
      <c r="G410" s="1">
        <v>304418.15000000002</v>
      </c>
      <c r="H410" s="1">
        <v>304418.15000000002</v>
      </c>
      <c r="I410" s="1">
        <v>0</v>
      </c>
      <c r="J410" s="1">
        <v>422451.67</v>
      </c>
      <c r="K410" s="1">
        <v>422451.67</v>
      </c>
      <c r="L410" s="1">
        <v>0</v>
      </c>
      <c r="M410" s="1">
        <v>301453.64</v>
      </c>
      <c r="N410" s="1">
        <v>301453.64</v>
      </c>
      <c r="O410" s="1">
        <v>0</v>
      </c>
      <c r="P410" s="1">
        <v>139703.22</v>
      </c>
      <c r="Q410" s="1">
        <v>139703.22</v>
      </c>
      <c r="R410" s="1">
        <v>0</v>
      </c>
      <c r="S410" s="1">
        <v>4227.2299999999996</v>
      </c>
      <c r="T410" s="1">
        <v>4227.2299999999996</v>
      </c>
      <c r="U410" s="1">
        <v>0</v>
      </c>
      <c r="V410" s="1">
        <v>0</v>
      </c>
      <c r="W410" s="1">
        <v>0</v>
      </c>
      <c r="X410" s="1">
        <v>0</v>
      </c>
      <c r="Y410" s="1">
        <v>1172253.9099999999</v>
      </c>
      <c r="Z410" s="1">
        <v>304418.15000000002</v>
      </c>
    </row>
    <row r="411" spans="1:26" x14ac:dyDescent="0.35">
      <c r="A411">
        <v>409</v>
      </c>
      <c r="B411">
        <v>4008</v>
      </c>
      <c r="C411" t="s">
        <v>268</v>
      </c>
      <c r="D411">
        <v>943916</v>
      </c>
      <c r="E411" t="s">
        <v>167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18516.830000000002</v>
      </c>
      <c r="Q411" s="1">
        <v>18516.830000000002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18516.830000000002</v>
      </c>
      <c r="Z411" s="1">
        <v>0</v>
      </c>
    </row>
    <row r="412" spans="1:26" x14ac:dyDescent="0.35">
      <c r="A412">
        <v>410</v>
      </c>
      <c r="B412">
        <v>6001</v>
      </c>
      <c r="C412" t="s">
        <v>269</v>
      </c>
      <c r="D412">
        <v>912511</v>
      </c>
      <c r="E412" t="s">
        <v>138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  <c r="Z412" s="1">
        <v>0</v>
      </c>
    </row>
    <row r="413" spans="1:26" x14ac:dyDescent="0.35">
      <c r="A413">
        <v>411</v>
      </c>
      <c r="B413">
        <v>6001</v>
      </c>
      <c r="C413" t="s">
        <v>269</v>
      </c>
      <c r="D413">
        <v>913112</v>
      </c>
      <c r="E413" t="s">
        <v>125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</row>
    <row r="414" spans="1:26" x14ac:dyDescent="0.35">
      <c r="A414">
        <v>412</v>
      </c>
      <c r="B414">
        <v>9</v>
      </c>
      <c r="C414" t="s">
        <v>270</v>
      </c>
      <c r="D414">
        <v>953911</v>
      </c>
      <c r="E414" t="s">
        <v>176</v>
      </c>
      <c r="F414" s="1">
        <v>0</v>
      </c>
      <c r="G414" s="1">
        <v>0.03</v>
      </c>
      <c r="H414" s="1">
        <v>0.03</v>
      </c>
      <c r="I414" s="1">
        <v>0</v>
      </c>
      <c r="J414" s="1">
        <v>7.0000000000000007E-2</v>
      </c>
      <c r="K414" s="1">
        <v>7.0000000000000007E-2</v>
      </c>
      <c r="L414" s="1">
        <v>0</v>
      </c>
      <c r="M414" s="1">
        <v>0.31</v>
      </c>
      <c r="N414" s="1">
        <v>0.31</v>
      </c>
      <c r="O414" s="1">
        <v>0</v>
      </c>
      <c r="P414" s="1">
        <v>0.09</v>
      </c>
      <c r="Q414" s="1">
        <v>0.09</v>
      </c>
      <c r="R414" s="1">
        <v>0</v>
      </c>
      <c r="S414" s="1">
        <v>0.18</v>
      </c>
      <c r="T414" s="1">
        <v>0.18</v>
      </c>
      <c r="U414" s="1">
        <v>0</v>
      </c>
      <c r="V414" s="1">
        <v>0.12</v>
      </c>
      <c r="W414" s="1">
        <v>0.12</v>
      </c>
      <c r="X414" s="1">
        <v>0</v>
      </c>
      <c r="Y414" s="1">
        <v>0.8</v>
      </c>
      <c r="Z414" s="1">
        <v>0.03</v>
      </c>
    </row>
    <row r="415" spans="1:26" x14ac:dyDescent="0.35">
      <c r="A415">
        <v>413</v>
      </c>
      <c r="B415">
        <v>9</v>
      </c>
      <c r="C415" t="s">
        <v>270</v>
      </c>
      <c r="D415">
        <v>97611</v>
      </c>
      <c r="E415" t="s">
        <v>194</v>
      </c>
      <c r="F415" s="1">
        <v>0</v>
      </c>
      <c r="G415" s="1">
        <v>106568.6</v>
      </c>
      <c r="H415" s="1">
        <v>106568.6</v>
      </c>
      <c r="I415" s="1">
        <v>0</v>
      </c>
      <c r="J415" s="1">
        <v>181389.72</v>
      </c>
      <c r="K415" s="1">
        <v>181389.72</v>
      </c>
      <c r="L415" s="1">
        <v>0</v>
      </c>
      <c r="M415" s="1">
        <v>83568.320000000007</v>
      </c>
      <c r="N415" s="1">
        <v>83568.320000000007</v>
      </c>
      <c r="O415" s="1">
        <v>0</v>
      </c>
      <c r="P415" s="1">
        <v>0.14000000000000001</v>
      </c>
      <c r="Q415" s="1">
        <v>0.14000000000000001</v>
      </c>
      <c r="R415" s="1">
        <v>0</v>
      </c>
      <c r="S415" s="1">
        <v>123719.45</v>
      </c>
      <c r="T415" s="1">
        <v>123719.45</v>
      </c>
      <c r="U415" s="1">
        <v>0</v>
      </c>
      <c r="V415" s="1">
        <v>1.63</v>
      </c>
      <c r="W415" s="1">
        <v>1.63</v>
      </c>
      <c r="X415" s="1">
        <v>0</v>
      </c>
      <c r="Y415" s="1">
        <v>495247.86</v>
      </c>
      <c r="Z415" s="1">
        <v>106568.6</v>
      </c>
    </row>
    <row r="416" spans="1:26" x14ac:dyDescent="0.35">
      <c r="A416" t="s">
        <v>107</v>
      </c>
      <c r="B416" t="s">
        <v>271</v>
      </c>
      <c r="C416" t="s">
        <v>107</v>
      </c>
      <c r="D416" t="s">
        <v>107</v>
      </c>
      <c r="E416" t="s">
        <v>107</v>
      </c>
      <c r="F416" s="1">
        <v>0</v>
      </c>
      <c r="G416" s="210">
        <f>SUM(G3:G415)</f>
        <v>3533189.59</v>
      </c>
      <c r="H416" s="1">
        <v>7066379.1799999997</v>
      </c>
      <c r="I416" s="1">
        <v>0</v>
      </c>
      <c r="J416" s="210">
        <f>SUM(J3:J415)</f>
        <v>4198273.7299999995</v>
      </c>
      <c r="K416" s="1">
        <v>0</v>
      </c>
      <c r="L416" s="1">
        <v>0</v>
      </c>
      <c r="M416" s="210">
        <f>SUM(M3:M415)</f>
        <v>3348083.9799999977</v>
      </c>
      <c r="N416" s="1">
        <v>0</v>
      </c>
      <c r="O416" s="1">
        <v>0</v>
      </c>
      <c r="P416" s="210">
        <f>SUM(P3:P415)</f>
        <v>2911099.9600000014</v>
      </c>
      <c r="Q416" s="1">
        <v>0</v>
      </c>
      <c r="R416" s="1">
        <v>0</v>
      </c>
      <c r="S416" s="210">
        <f>SUM(S3:S415)</f>
        <v>2844456.7499999991</v>
      </c>
      <c r="T416" s="1">
        <v>0</v>
      </c>
      <c r="U416" s="1">
        <v>0</v>
      </c>
      <c r="V416" s="210">
        <f>SUM(V3:V415)</f>
        <v>2900733.0100000021</v>
      </c>
      <c r="W416" s="1">
        <v>0</v>
      </c>
      <c r="X416" s="1">
        <v>0</v>
      </c>
      <c r="Y416" s="1">
        <v>19735837.02</v>
      </c>
      <c r="Z416" s="1">
        <v>7066379.1799999997</v>
      </c>
    </row>
    <row r="417" spans="25:25" x14ac:dyDescent="0.35">
      <c r="Y417" s="1">
        <f>+'[4]BDC SOL'!$G$57+'[4]BDC SOL'!$G$58+'[4]BDC SOL'!$G$59+'[4]BDC SOL'!$G$60+'[4]BDC SOL'!$G$61</f>
        <v>19736211.93</v>
      </c>
    </row>
    <row r="418" spans="25:25" x14ac:dyDescent="0.35">
      <c r="Y418" s="1">
        <f>+Y416-Y417</f>
        <v>-374.91000000014901</v>
      </c>
    </row>
  </sheetData>
  <mergeCells count="9">
    <mergeCell ref="R1:T1"/>
    <mergeCell ref="U1:W1"/>
    <mergeCell ref="X1:Z1"/>
    <mergeCell ref="B1:C1"/>
    <mergeCell ref="D1:E1"/>
    <mergeCell ref="F1:H1"/>
    <mergeCell ref="I1:K1"/>
    <mergeCell ref="L1:N1"/>
    <mergeCell ref="O1:Q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48C32-358B-4FC2-BD5C-5963010A6AB1}">
  <dimension ref="A1"/>
  <sheetViews>
    <sheetView workbookViewId="0">
      <selection activeCell="B2" sqref="B2"/>
    </sheetView>
  </sheetViews>
  <sheetFormatPr baseColWidth="10"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1ReporteImpactoYRendvs Presup</vt:lpstr>
      <vt:lpstr>2ResultXLote</vt:lpstr>
      <vt:lpstr>3ComparaXRubro</vt:lpstr>
      <vt:lpstr>4GastoRealVsPresup</vt:lpstr>
      <vt:lpstr>5Ratios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Octavio</dc:creator>
  <cp:lastModifiedBy>Eduardo Octavio</cp:lastModifiedBy>
  <dcterms:created xsi:type="dcterms:W3CDTF">2025-11-06T16:29:54Z</dcterms:created>
  <dcterms:modified xsi:type="dcterms:W3CDTF">2025-11-07T16:13:25Z</dcterms:modified>
</cp:coreProperties>
</file>